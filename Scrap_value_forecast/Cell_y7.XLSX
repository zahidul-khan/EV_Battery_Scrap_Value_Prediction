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23005080\Desktop\Thesis_project\Jupyter_fies\"/>
    </mc:Choice>
  </mc:AlternateContent>
  <xr:revisionPtr revIDLastSave="0" documentId="13_ncr:1_{7D4BF5A5-D043-4355-A5E1-D4B26331E6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2" i="1"/>
</calcChain>
</file>

<file path=xl/sharedStrings.xml><?xml version="1.0" encoding="utf-8"?>
<sst xmlns="http://schemas.openxmlformats.org/spreadsheetml/2006/main" count="1303" uniqueCount="213">
  <si>
    <t>0300</t>
  </si>
  <si>
    <t>0005</t>
  </si>
  <si>
    <t>PCE</t>
  </si>
  <si>
    <t>4924272326</t>
  </si>
  <si>
    <t>7021007215</t>
  </si>
  <si>
    <t>Top Module</t>
  </si>
  <si>
    <t>1</t>
  </si>
  <si>
    <t/>
  </si>
  <si>
    <t>0</t>
  </si>
  <si>
    <t>IQCZ</t>
  </si>
  <si>
    <t>Testi</t>
  </si>
  <si>
    <t>3011002</t>
  </si>
  <si>
    <t>IDOCBTCUSER</t>
  </si>
  <si>
    <t>WA</t>
  </si>
  <si>
    <t>551</t>
  </si>
  <si>
    <t>GI scrapping</t>
  </si>
  <si>
    <t>4924354530</t>
  </si>
  <si>
    <t>708D</t>
  </si>
  <si>
    <t>Mica plate damaged</t>
  </si>
  <si>
    <t>VA23004640</t>
  </si>
  <si>
    <t>4924375632</t>
  </si>
  <si>
    <t>Terminal damaged</t>
  </si>
  <si>
    <t>4924422758</t>
  </si>
  <si>
    <t>170D</t>
  </si>
  <si>
    <t>Damaged by cleco</t>
  </si>
  <si>
    <t>4924486499</t>
  </si>
  <si>
    <t>900D</t>
  </si>
  <si>
    <t>DAC0700249</t>
  </si>
  <si>
    <t>4924498918</t>
  </si>
  <si>
    <t>170F</t>
  </si>
  <si>
    <t>Flex ripped</t>
  </si>
  <si>
    <t>4924516672</t>
  </si>
  <si>
    <t>190D</t>
  </si>
  <si>
    <t>Bunkkeri</t>
  </si>
  <si>
    <t>4924517584</t>
  </si>
  <si>
    <t>770F</t>
  </si>
  <si>
    <t>DAF0700726</t>
  </si>
  <si>
    <t>4924530516</t>
  </si>
  <si>
    <t>220B</t>
  </si>
  <si>
    <t>DAK0700682</t>
  </si>
  <si>
    <t>4924550132</t>
  </si>
  <si>
    <t>705D</t>
  </si>
  <si>
    <t>DAN0700259</t>
  </si>
  <si>
    <t>4924609133</t>
  </si>
  <si>
    <t>4924610961</t>
  </si>
  <si>
    <t>4924610965</t>
  </si>
  <si>
    <t>900F</t>
  </si>
  <si>
    <t>Flex damaged in RW</t>
  </si>
  <si>
    <t>4924616925</t>
  </si>
  <si>
    <t>DB80700387</t>
  </si>
  <si>
    <t>4924616932</t>
  </si>
  <si>
    <t>DB80700074</t>
  </si>
  <si>
    <t>4924633660</t>
  </si>
  <si>
    <t>116B</t>
  </si>
  <si>
    <t>Screwing NOK</t>
  </si>
  <si>
    <t>4924682501</t>
  </si>
  <si>
    <t>IQCL</t>
  </si>
  <si>
    <t>Dropped by logistics</t>
  </si>
  <si>
    <t>300270320</t>
  </si>
  <si>
    <t>VA20003252</t>
  </si>
  <si>
    <t>4924698949</t>
  </si>
  <si>
    <t>730D</t>
  </si>
  <si>
    <t>4924706313</t>
  </si>
  <si>
    <t>Dropped by operator</t>
  </si>
  <si>
    <t>4924716677</t>
  </si>
  <si>
    <t>230D</t>
  </si>
  <si>
    <t>DCC0700659</t>
  </si>
  <si>
    <t>4924723494</t>
  </si>
  <si>
    <t>DCF0700039</t>
  </si>
  <si>
    <t>4924729762</t>
  </si>
  <si>
    <t>DCF0700206</t>
  </si>
  <si>
    <t>4924733580</t>
  </si>
  <si>
    <t>116D</t>
  </si>
  <si>
    <t>300270321</t>
  </si>
  <si>
    <t>4924751010</t>
  </si>
  <si>
    <t>800B</t>
  </si>
  <si>
    <t>4924759896</t>
  </si>
  <si>
    <t>145D</t>
  </si>
  <si>
    <t>DC80700402</t>
  </si>
  <si>
    <t>4924834493</t>
  </si>
  <si>
    <t>760B</t>
  </si>
  <si>
    <t>E180700053</t>
  </si>
  <si>
    <t>4924831031</t>
  </si>
  <si>
    <t>Mika plate damaged</t>
  </si>
  <si>
    <t>4924896194</t>
  </si>
  <si>
    <t>470D</t>
  </si>
  <si>
    <t>E1L0700358</t>
  </si>
  <si>
    <t>4924896197</t>
  </si>
  <si>
    <t>E1L0700345</t>
  </si>
  <si>
    <t>4924930582</t>
  </si>
  <si>
    <t>E1X0700295</t>
  </si>
  <si>
    <t>4924924926</t>
  </si>
  <si>
    <t>418F05</t>
  </si>
  <si>
    <t>Flex damaged</t>
  </si>
  <si>
    <t>4924939275</t>
  </si>
  <si>
    <t>IQCA</t>
  </si>
  <si>
    <t>Y7 IQC</t>
  </si>
  <si>
    <t>VA23003190</t>
  </si>
  <si>
    <t>4924952919</t>
  </si>
  <si>
    <t>4924989174</t>
  </si>
  <si>
    <t>E230700755</t>
  </si>
  <si>
    <t>4925002645</t>
  </si>
  <si>
    <t>E2V0700459</t>
  </si>
  <si>
    <t>4925019246</t>
  </si>
  <si>
    <t>E370700246</t>
  </si>
  <si>
    <t>4925031413</t>
  </si>
  <si>
    <t>416O09</t>
  </si>
  <si>
    <t>200046009, Correction</t>
  </si>
  <si>
    <t>UKINUUTIWI</t>
  </si>
  <si>
    <t>4925031411</t>
  </si>
  <si>
    <t>31</t>
  </si>
  <si>
    <t>380O05</t>
  </si>
  <si>
    <t>200045790, Groundless</t>
  </si>
  <si>
    <t>4925030988</t>
  </si>
  <si>
    <t>220D</t>
  </si>
  <si>
    <t>E370700207</t>
  </si>
  <si>
    <t>4925030987</t>
  </si>
  <si>
    <t>800A</t>
  </si>
  <si>
    <t>E390700159</t>
  </si>
  <si>
    <t>4925059620</t>
  </si>
  <si>
    <t>E3G0700789</t>
  </si>
  <si>
    <t>4925056510</t>
  </si>
  <si>
    <t>4925071207</t>
  </si>
  <si>
    <t>IQCD</t>
  </si>
  <si>
    <t>E3J0700045 cell dmg</t>
  </si>
  <si>
    <t>4925117557</t>
  </si>
  <si>
    <t>E3T0700207</t>
  </si>
  <si>
    <t>4925126534</t>
  </si>
  <si>
    <t>E300700207 screw hit bot</t>
  </si>
  <si>
    <t>4925150674</t>
  </si>
  <si>
    <t>E300700410</t>
  </si>
  <si>
    <t>4925188551</t>
  </si>
  <si>
    <t>E4L0700334</t>
  </si>
  <si>
    <t>4925196957</t>
  </si>
  <si>
    <t>770D</t>
  </si>
  <si>
    <t>4925208838</t>
  </si>
  <si>
    <t>E4V0700056</t>
  </si>
  <si>
    <t>4925215173</t>
  </si>
  <si>
    <t>Bottom plastic damage</t>
  </si>
  <si>
    <t>VA23003473</t>
  </si>
  <si>
    <t>4925257706</t>
  </si>
  <si>
    <t>117D</t>
  </si>
  <si>
    <t>E650700040</t>
  </si>
  <si>
    <t>4925268766</t>
  </si>
  <si>
    <t>115D</t>
  </si>
  <si>
    <t>4925269583</t>
  </si>
  <si>
    <t>4925274545</t>
  </si>
  <si>
    <t>korjaus</t>
  </si>
  <si>
    <t>4925279854</t>
  </si>
  <si>
    <t>417O15</t>
  </si>
  <si>
    <t>E480700292</t>
  </si>
  <si>
    <t>4925305205</t>
  </si>
  <si>
    <t>900Z</t>
  </si>
  <si>
    <t>Flex dmg at RW</t>
  </si>
  <si>
    <t>4925311118</t>
  </si>
  <si>
    <t>Bottom dmg by screw</t>
  </si>
  <si>
    <t>4925316770</t>
  </si>
  <si>
    <t>4925332060</t>
  </si>
  <si>
    <t>E6K0700266</t>
  </si>
  <si>
    <t>4925382494</t>
  </si>
  <si>
    <t>E730700580</t>
  </si>
  <si>
    <t>4925437058</t>
  </si>
  <si>
    <t>730F</t>
  </si>
  <si>
    <t>E7A0700614</t>
  </si>
  <si>
    <t>4925489032</t>
  </si>
  <si>
    <t>E7L0700047</t>
  </si>
  <si>
    <t>4925502468</t>
  </si>
  <si>
    <t>E7P0700573</t>
  </si>
  <si>
    <t>4925499781</t>
  </si>
  <si>
    <t>416O05</t>
  </si>
  <si>
    <t>E7J0700198</t>
  </si>
  <si>
    <t>VA23007063</t>
  </si>
  <si>
    <t>4925505623</t>
  </si>
  <si>
    <t>417F05</t>
  </si>
  <si>
    <t>E7N0700265</t>
  </si>
  <si>
    <t>4925513854</t>
  </si>
  <si>
    <t>E7T0700663</t>
  </si>
  <si>
    <t>4925517697</t>
  </si>
  <si>
    <t>E7T0700827</t>
  </si>
  <si>
    <t>4925525135</t>
  </si>
  <si>
    <t>E7W0700479</t>
  </si>
  <si>
    <t>4925601036</t>
  </si>
  <si>
    <t>57</t>
  </si>
  <si>
    <t>TEST</t>
  </si>
  <si>
    <t>1739419</t>
  </si>
  <si>
    <t>VA23007420</t>
  </si>
  <si>
    <t>WS</t>
  </si>
  <si>
    <t>4925601034</t>
  </si>
  <si>
    <t>Plant</t>
  </si>
  <si>
    <t>Storage Location</t>
  </si>
  <si>
    <t>Unit of Entry</t>
  </si>
  <si>
    <t>Material Document</t>
  </si>
  <si>
    <t>Material</t>
  </si>
  <si>
    <t>Material Description</t>
  </si>
  <si>
    <t>Material Doc.Item</t>
  </si>
  <si>
    <t>Vendor</t>
  </si>
  <si>
    <t>Purchase Order</t>
  </si>
  <si>
    <t>Item</t>
  </si>
  <si>
    <t>Reference</t>
  </si>
  <si>
    <t>Document Header Text</t>
  </si>
  <si>
    <t>Order</t>
  </si>
  <si>
    <t>Cost Center</t>
  </si>
  <si>
    <t>Qty in Un. of Entry</t>
  </si>
  <si>
    <t>User name</t>
  </si>
  <si>
    <t>Trans./Event Type</t>
  </si>
  <si>
    <t>Movement Type</t>
  </si>
  <si>
    <t>Movement Type Text</t>
  </si>
  <si>
    <t>Entry Date</t>
  </si>
  <si>
    <t>Posting Date</t>
  </si>
  <si>
    <t>Document Date</t>
  </si>
  <si>
    <t>Quantity</t>
  </si>
  <si>
    <t>Amount in LC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</si>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</sst>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Alignment="1">
      <alignment vertical="top"/>
    </xf>
    <xf numFmtId="2" fontId="0" fillId="4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2"/>
  <sheetViews>
    <sheetView tabSelected="1" topLeftCell="P44" workbookViewId="0">
      <selection activeCell="Y44" sqref="Y1:Y1048576"/>
    </sheetView>
  </sheetViews>
  <sheetFormatPr defaultRowHeight="13.2" x14ac:dyDescent="0.25"/>
  <cols>
    <col min="1" max="1" width="7" bestFit="1" customWidth="1"/>
    <col min="2" max="2" width="6" bestFit="1" customWidth="1"/>
    <col min="3" max="3" width="5" bestFit="1" customWidth="1"/>
    <col min="4" max="4" width="19" bestFit="1" customWidth="1"/>
    <col min="5" max="7" width="12" bestFit="1" customWidth="1"/>
    <col min="8" max="8" width="8" bestFit="1" customWidth="1"/>
    <col min="9" max="9" width="16" bestFit="1" customWidth="1"/>
    <col min="10" max="10" width="6" bestFit="1" customWidth="1"/>
    <col min="11" max="11" width="11" bestFit="1" customWidth="1"/>
    <col min="12" max="12" width="26" bestFit="1" customWidth="1"/>
    <col min="13" max="13" width="11" bestFit="1" customWidth="1"/>
    <col min="14" max="16" width="13" bestFit="1" customWidth="1"/>
    <col min="17" max="17" width="12" bestFit="1" customWidth="1"/>
    <col min="18" max="18" width="5" bestFit="1" customWidth="1"/>
    <col min="19" max="19" width="20" bestFit="1" customWidth="1"/>
    <col min="20" max="20" width="13" bestFit="1" customWidth="1"/>
    <col min="21" max="21" width="14" bestFit="1" customWidth="1"/>
    <col min="22" max="22" width="15" bestFit="1" customWidth="1"/>
    <col min="23" max="23" width="10" bestFit="1" customWidth="1"/>
    <col min="24" max="24" width="14" bestFit="1" customWidth="1"/>
    <col min="25" max="25" width="8.88671875" style="11"/>
  </cols>
  <sheetData>
    <row r="1" spans="1:25" ht="52.8" x14ac:dyDescent="0.25">
      <c r="A1" s="1" t="s">
        <v>188</v>
      </c>
      <c r="B1" s="9" t="s">
        <v>189</v>
      </c>
      <c r="C1" s="9" t="s">
        <v>190</v>
      </c>
      <c r="D1" s="1" t="s">
        <v>191</v>
      </c>
      <c r="E1" s="1" t="s">
        <v>192</v>
      </c>
      <c r="F1" s="9" t="s">
        <v>193</v>
      </c>
      <c r="G1" s="9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9" t="s">
        <v>202</v>
      </c>
      <c r="P1" s="1" t="s">
        <v>203</v>
      </c>
      <c r="Q1" s="9" t="s">
        <v>204</v>
      </c>
      <c r="R1" s="9" t="s">
        <v>205</v>
      </c>
      <c r="S1" s="1" t="s">
        <v>206</v>
      </c>
      <c r="T1" s="1" t="s">
        <v>207</v>
      </c>
      <c r="U1" s="1" t="s">
        <v>208</v>
      </c>
      <c r="V1" s="1" t="s">
        <v>209</v>
      </c>
      <c r="W1" s="1" t="s">
        <v>210</v>
      </c>
      <c r="X1" s="1" t="s">
        <v>211</v>
      </c>
      <c r="Y1" s="10" t="s">
        <v>212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7</v>
      </c>
      <c r="N2" t="s">
        <v>11</v>
      </c>
      <c r="O2" s="2">
        <v>-1</v>
      </c>
      <c r="P2" t="s">
        <v>12</v>
      </c>
      <c r="Q2" t="s">
        <v>13</v>
      </c>
      <c r="R2" t="s">
        <v>14</v>
      </c>
      <c r="S2" t="s">
        <v>15</v>
      </c>
      <c r="T2" s="3">
        <v>45272</v>
      </c>
      <c r="U2" s="3">
        <v>45272</v>
      </c>
      <c r="V2" s="3">
        <v>45272</v>
      </c>
      <c r="W2" s="2">
        <v>-1</v>
      </c>
      <c r="X2" s="4">
        <v>-1503.45</v>
      </c>
      <c r="Y2" s="11">
        <f>X2/W2</f>
        <v>1503.45</v>
      </c>
    </row>
    <row r="3" spans="1:25" x14ac:dyDescent="0.25">
      <c r="A3" t="s">
        <v>0</v>
      </c>
      <c r="B3" t="s">
        <v>1</v>
      </c>
      <c r="C3" t="s">
        <v>2</v>
      </c>
      <c r="D3" t="s">
        <v>16</v>
      </c>
      <c r="E3" t="s">
        <v>4</v>
      </c>
      <c r="F3" t="s">
        <v>5</v>
      </c>
      <c r="G3" t="s">
        <v>6</v>
      </c>
      <c r="H3" t="s">
        <v>7</v>
      </c>
      <c r="I3" t="s">
        <v>7</v>
      </c>
      <c r="J3" t="s">
        <v>8</v>
      </c>
      <c r="K3" t="s">
        <v>17</v>
      </c>
      <c r="L3" t="s">
        <v>18</v>
      </c>
      <c r="M3" t="s">
        <v>7</v>
      </c>
      <c r="N3" t="s">
        <v>11</v>
      </c>
      <c r="O3" s="2">
        <v>-1</v>
      </c>
      <c r="P3" t="s">
        <v>19</v>
      </c>
      <c r="Q3" t="s">
        <v>13</v>
      </c>
      <c r="R3" t="s">
        <v>14</v>
      </c>
      <c r="S3" t="s">
        <v>15</v>
      </c>
      <c r="T3" s="3">
        <v>45301</v>
      </c>
      <c r="U3" s="3">
        <v>45301</v>
      </c>
      <c r="V3" s="3">
        <v>45301</v>
      </c>
      <c r="W3" s="2">
        <v>-1</v>
      </c>
      <c r="X3" s="4">
        <v>-1357.17</v>
      </c>
      <c r="Y3" s="11">
        <f t="shared" ref="Y3:Y66" si="0">X3/W3</f>
        <v>1357.17</v>
      </c>
    </row>
    <row r="4" spans="1:25" x14ac:dyDescent="0.25">
      <c r="A4" t="s">
        <v>0</v>
      </c>
      <c r="B4" t="s">
        <v>1</v>
      </c>
      <c r="C4" t="s">
        <v>2</v>
      </c>
      <c r="D4" t="s">
        <v>20</v>
      </c>
      <c r="E4" t="s">
        <v>4</v>
      </c>
      <c r="F4" t="s">
        <v>5</v>
      </c>
      <c r="G4" t="s">
        <v>6</v>
      </c>
      <c r="H4" t="s">
        <v>7</v>
      </c>
      <c r="I4" t="s">
        <v>7</v>
      </c>
      <c r="J4" t="s">
        <v>8</v>
      </c>
      <c r="K4" t="s">
        <v>17</v>
      </c>
      <c r="L4" t="s">
        <v>21</v>
      </c>
      <c r="M4" t="s">
        <v>7</v>
      </c>
      <c r="N4" t="s">
        <v>11</v>
      </c>
      <c r="O4" s="2">
        <v>-1</v>
      </c>
      <c r="P4" t="s">
        <v>12</v>
      </c>
      <c r="Q4" t="s">
        <v>13</v>
      </c>
      <c r="R4" t="s">
        <v>14</v>
      </c>
      <c r="S4" t="s">
        <v>15</v>
      </c>
      <c r="T4" s="3">
        <v>45306</v>
      </c>
      <c r="U4" s="3">
        <v>45306</v>
      </c>
      <c r="V4" s="3">
        <v>45306</v>
      </c>
      <c r="W4" s="2">
        <v>-1</v>
      </c>
      <c r="X4" s="4">
        <v>-1357.15</v>
      </c>
      <c r="Y4" s="11">
        <f t="shared" si="0"/>
        <v>1357.15</v>
      </c>
    </row>
    <row r="5" spans="1:25" x14ac:dyDescent="0.25">
      <c r="A5" t="s">
        <v>0</v>
      </c>
      <c r="B5" t="s">
        <v>1</v>
      </c>
      <c r="C5" t="s">
        <v>2</v>
      </c>
      <c r="D5" t="s">
        <v>22</v>
      </c>
      <c r="E5" t="s">
        <v>4</v>
      </c>
      <c r="F5" t="s">
        <v>5</v>
      </c>
      <c r="G5" t="s">
        <v>6</v>
      </c>
      <c r="H5" t="s">
        <v>7</v>
      </c>
      <c r="I5" t="s">
        <v>7</v>
      </c>
      <c r="J5" t="s">
        <v>8</v>
      </c>
      <c r="K5" t="s">
        <v>23</v>
      </c>
      <c r="L5" t="s">
        <v>24</v>
      </c>
      <c r="M5" t="s">
        <v>7</v>
      </c>
      <c r="N5" t="s">
        <v>11</v>
      </c>
      <c r="O5" s="2">
        <v>-1</v>
      </c>
      <c r="P5" t="s">
        <v>12</v>
      </c>
      <c r="Q5" t="s">
        <v>13</v>
      </c>
      <c r="R5" t="s">
        <v>14</v>
      </c>
      <c r="S5" t="s">
        <v>15</v>
      </c>
      <c r="T5" s="3">
        <v>45315</v>
      </c>
      <c r="U5" s="3">
        <v>45315</v>
      </c>
      <c r="V5" s="3">
        <v>45315</v>
      </c>
      <c r="W5" s="2">
        <v>-1</v>
      </c>
      <c r="X5" s="4">
        <v>-1332.75</v>
      </c>
      <c r="Y5" s="11">
        <f t="shared" si="0"/>
        <v>1332.75</v>
      </c>
    </row>
    <row r="6" spans="1:25" x14ac:dyDescent="0.25">
      <c r="A6" t="s">
        <v>0</v>
      </c>
      <c r="B6" t="s">
        <v>1</v>
      </c>
      <c r="C6" t="s">
        <v>2</v>
      </c>
      <c r="D6" t="s">
        <v>25</v>
      </c>
      <c r="E6" t="s">
        <v>4</v>
      </c>
      <c r="F6" t="s">
        <v>5</v>
      </c>
      <c r="G6" t="s">
        <v>6</v>
      </c>
      <c r="H6" t="s">
        <v>7</v>
      </c>
      <c r="I6" t="s">
        <v>7</v>
      </c>
      <c r="J6" t="s">
        <v>8</v>
      </c>
      <c r="K6" t="s">
        <v>26</v>
      </c>
      <c r="L6" t="s">
        <v>27</v>
      </c>
      <c r="M6" t="s">
        <v>7</v>
      </c>
      <c r="N6" t="s">
        <v>11</v>
      </c>
      <c r="O6" s="2">
        <v>-1</v>
      </c>
      <c r="P6" t="s">
        <v>12</v>
      </c>
      <c r="Q6" t="s">
        <v>13</v>
      </c>
      <c r="R6" t="s">
        <v>14</v>
      </c>
      <c r="S6" t="s">
        <v>15</v>
      </c>
      <c r="T6" s="3">
        <v>45327</v>
      </c>
      <c r="U6" s="3">
        <v>45327</v>
      </c>
      <c r="V6" s="3">
        <v>45327</v>
      </c>
      <c r="W6" s="2">
        <v>-1</v>
      </c>
      <c r="X6" s="4">
        <v>-1331.92</v>
      </c>
      <c r="Y6" s="11">
        <f t="shared" si="0"/>
        <v>1331.92</v>
      </c>
    </row>
    <row r="7" spans="1:25" x14ac:dyDescent="0.25">
      <c r="A7" t="s">
        <v>0</v>
      </c>
      <c r="B7" t="s">
        <v>1</v>
      </c>
      <c r="C7" t="s">
        <v>2</v>
      </c>
      <c r="D7" t="s">
        <v>28</v>
      </c>
      <c r="E7" t="s">
        <v>4</v>
      </c>
      <c r="F7" t="s">
        <v>5</v>
      </c>
      <c r="G7" t="s">
        <v>6</v>
      </c>
      <c r="H7" t="s">
        <v>7</v>
      </c>
      <c r="I7" t="s">
        <v>7</v>
      </c>
      <c r="J7" t="s">
        <v>8</v>
      </c>
      <c r="K7" t="s">
        <v>29</v>
      </c>
      <c r="L7" t="s">
        <v>30</v>
      </c>
      <c r="M7" t="s">
        <v>7</v>
      </c>
      <c r="N7" t="s">
        <v>11</v>
      </c>
      <c r="O7" s="2">
        <v>-1</v>
      </c>
      <c r="P7" t="s">
        <v>12</v>
      </c>
      <c r="Q7" t="s">
        <v>13</v>
      </c>
      <c r="R7" t="s">
        <v>14</v>
      </c>
      <c r="S7" t="s">
        <v>15</v>
      </c>
      <c r="T7" s="3">
        <v>45329</v>
      </c>
      <c r="U7" s="3">
        <v>45329</v>
      </c>
      <c r="V7" s="3">
        <v>45329</v>
      </c>
      <c r="W7" s="2">
        <v>-1</v>
      </c>
      <c r="X7" s="4">
        <v>-1331.91</v>
      </c>
      <c r="Y7" s="11">
        <f t="shared" si="0"/>
        <v>1331.91</v>
      </c>
    </row>
    <row r="8" spans="1:25" x14ac:dyDescent="0.25">
      <c r="A8" t="s">
        <v>0</v>
      </c>
      <c r="B8" t="s">
        <v>1</v>
      </c>
      <c r="C8" t="s">
        <v>2</v>
      </c>
      <c r="D8" t="s">
        <v>31</v>
      </c>
      <c r="E8" t="s">
        <v>4</v>
      </c>
      <c r="F8" t="s">
        <v>5</v>
      </c>
      <c r="G8" t="s">
        <v>6</v>
      </c>
      <c r="H8" t="s">
        <v>7</v>
      </c>
      <c r="I8" t="s">
        <v>7</v>
      </c>
      <c r="J8" t="s">
        <v>8</v>
      </c>
      <c r="K8" t="s">
        <v>32</v>
      </c>
      <c r="L8" t="s">
        <v>33</v>
      </c>
      <c r="M8" t="s">
        <v>7</v>
      </c>
      <c r="N8" t="s">
        <v>11</v>
      </c>
      <c r="O8" s="2">
        <v>-1</v>
      </c>
      <c r="P8" t="s">
        <v>12</v>
      </c>
      <c r="Q8" t="s">
        <v>13</v>
      </c>
      <c r="R8" t="s">
        <v>14</v>
      </c>
      <c r="S8" t="s">
        <v>15</v>
      </c>
      <c r="T8" s="3">
        <v>45331</v>
      </c>
      <c r="U8" s="3">
        <v>45331</v>
      </c>
      <c r="V8" s="3">
        <v>45331</v>
      </c>
      <c r="W8" s="2">
        <v>-1</v>
      </c>
      <c r="X8" s="4">
        <v>-1331.9</v>
      </c>
      <c r="Y8" s="11">
        <f t="shared" si="0"/>
        <v>1331.9</v>
      </c>
    </row>
    <row r="9" spans="1:25" x14ac:dyDescent="0.25">
      <c r="A9" t="s">
        <v>0</v>
      </c>
      <c r="B9" t="s">
        <v>1</v>
      </c>
      <c r="C9" t="s">
        <v>2</v>
      </c>
      <c r="D9" t="s">
        <v>34</v>
      </c>
      <c r="E9" t="s">
        <v>4</v>
      </c>
      <c r="F9" t="s">
        <v>5</v>
      </c>
      <c r="G9" t="s">
        <v>6</v>
      </c>
      <c r="H9" t="s">
        <v>7</v>
      </c>
      <c r="I9" t="s">
        <v>7</v>
      </c>
      <c r="J9" t="s">
        <v>8</v>
      </c>
      <c r="K9" t="s">
        <v>35</v>
      </c>
      <c r="L9" t="s">
        <v>36</v>
      </c>
      <c r="M9" t="s">
        <v>7</v>
      </c>
      <c r="N9" t="s">
        <v>11</v>
      </c>
      <c r="O9" s="2">
        <v>-1</v>
      </c>
      <c r="P9" t="s">
        <v>12</v>
      </c>
      <c r="Q9" t="s">
        <v>13</v>
      </c>
      <c r="R9" t="s">
        <v>14</v>
      </c>
      <c r="S9" t="s">
        <v>15</v>
      </c>
      <c r="T9" s="3">
        <v>45332</v>
      </c>
      <c r="U9" s="3">
        <v>45332</v>
      </c>
      <c r="V9" s="3">
        <v>45332</v>
      </c>
      <c r="W9" s="2">
        <v>-1</v>
      </c>
      <c r="X9" s="4">
        <v>-1331.9</v>
      </c>
      <c r="Y9" s="11">
        <f t="shared" si="0"/>
        <v>1331.9</v>
      </c>
    </row>
    <row r="10" spans="1:25" x14ac:dyDescent="0.25">
      <c r="A10" t="s">
        <v>0</v>
      </c>
      <c r="B10" t="s">
        <v>1</v>
      </c>
      <c r="C10" t="s">
        <v>2</v>
      </c>
      <c r="D10" t="s">
        <v>37</v>
      </c>
      <c r="E10" t="s">
        <v>4</v>
      </c>
      <c r="F10" t="s">
        <v>5</v>
      </c>
      <c r="G10" t="s">
        <v>6</v>
      </c>
      <c r="H10" t="s">
        <v>7</v>
      </c>
      <c r="I10" t="s">
        <v>7</v>
      </c>
      <c r="J10" t="s">
        <v>8</v>
      </c>
      <c r="K10" t="s">
        <v>38</v>
      </c>
      <c r="L10" t="s">
        <v>39</v>
      </c>
      <c r="M10" t="s">
        <v>7</v>
      </c>
      <c r="N10" t="s">
        <v>11</v>
      </c>
      <c r="O10" s="2">
        <v>-1</v>
      </c>
      <c r="P10" t="s">
        <v>12</v>
      </c>
      <c r="Q10" t="s">
        <v>13</v>
      </c>
      <c r="R10" t="s">
        <v>14</v>
      </c>
      <c r="S10" t="s">
        <v>15</v>
      </c>
      <c r="T10" s="3">
        <v>45335</v>
      </c>
      <c r="U10" s="3">
        <v>45335</v>
      </c>
      <c r="V10" s="3">
        <v>45335</v>
      </c>
      <c r="W10" s="2">
        <v>-1</v>
      </c>
      <c r="X10" s="4">
        <v>-1331.9</v>
      </c>
      <c r="Y10" s="11">
        <f t="shared" si="0"/>
        <v>1331.9</v>
      </c>
    </row>
    <row r="11" spans="1:25" x14ac:dyDescent="0.25">
      <c r="A11" t="s">
        <v>0</v>
      </c>
      <c r="B11" t="s">
        <v>1</v>
      </c>
      <c r="C11" t="s">
        <v>2</v>
      </c>
      <c r="D11" t="s">
        <v>40</v>
      </c>
      <c r="E11" t="s">
        <v>4</v>
      </c>
      <c r="F11" t="s">
        <v>5</v>
      </c>
      <c r="G11" t="s">
        <v>6</v>
      </c>
      <c r="H11" t="s">
        <v>7</v>
      </c>
      <c r="I11" t="s">
        <v>7</v>
      </c>
      <c r="J11" t="s">
        <v>8</v>
      </c>
      <c r="K11" t="s">
        <v>41</v>
      </c>
      <c r="L11" t="s">
        <v>42</v>
      </c>
      <c r="M11" t="s">
        <v>7</v>
      </c>
      <c r="N11" t="s">
        <v>11</v>
      </c>
      <c r="O11" s="2">
        <v>-1</v>
      </c>
      <c r="P11" t="s">
        <v>12</v>
      </c>
      <c r="Q11" t="s">
        <v>13</v>
      </c>
      <c r="R11" t="s">
        <v>14</v>
      </c>
      <c r="S11" t="s">
        <v>15</v>
      </c>
      <c r="T11" s="3">
        <v>45341</v>
      </c>
      <c r="U11" s="3">
        <v>45341</v>
      </c>
      <c r="V11" s="3">
        <v>45341</v>
      </c>
      <c r="W11" s="2">
        <v>-1</v>
      </c>
      <c r="X11" s="4">
        <v>-1331.9</v>
      </c>
      <c r="Y11" s="11">
        <f t="shared" si="0"/>
        <v>1331.9</v>
      </c>
    </row>
    <row r="12" spans="1:25" x14ac:dyDescent="0.25">
      <c r="A12" t="s">
        <v>0</v>
      </c>
      <c r="B12" t="s">
        <v>1</v>
      </c>
      <c r="C12" t="s">
        <v>2</v>
      </c>
      <c r="D12" t="s">
        <v>43</v>
      </c>
      <c r="E12" t="s">
        <v>4</v>
      </c>
      <c r="F12" t="s">
        <v>5</v>
      </c>
      <c r="G12" t="s">
        <v>6</v>
      </c>
      <c r="H12" t="s">
        <v>7</v>
      </c>
      <c r="I12" t="s">
        <v>7</v>
      </c>
      <c r="J12" t="s">
        <v>8</v>
      </c>
      <c r="K12" t="s">
        <v>17</v>
      </c>
      <c r="L12" t="s">
        <v>21</v>
      </c>
      <c r="M12" t="s">
        <v>7</v>
      </c>
      <c r="N12" t="s">
        <v>11</v>
      </c>
      <c r="O12" s="2">
        <v>-1</v>
      </c>
      <c r="P12" t="s">
        <v>19</v>
      </c>
      <c r="Q12" t="s">
        <v>13</v>
      </c>
      <c r="R12" t="s">
        <v>14</v>
      </c>
      <c r="S12" t="s">
        <v>15</v>
      </c>
      <c r="T12" s="3">
        <v>45352</v>
      </c>
      <c r="U12" s="3">
        <v>45352</v>
      </c>
      <c r="V12" s="3">
        <v>45352</v>
      </c>
      <c r="W12" s="2">
        <v>-1</v>
      </c>
      <c r="X12" s="4">
        <v>-1331.9</v>
      </c>
      <c r="Y12" s="11">
        <f t="shared" si="0"/>
        <v>1331.9</v>
      </c>
    </row>
    <row r="13" spans="1:25" x14ac:dyDescent="0.25">
      <c r="A13" t="s">
        <v>0</v>
      </c>
      <c r="B13" t="s">
        <v>1</v>
      </c>
      <c r="C13" t="s">
        <v>2</v>
      </c>
      <c r="D13" t="s">
        <v>44</v>
      </c>
      <c r="E13" t="s">
        <v>4</v>
      </c>
      <c r="F13" t="s">
        <v>5</v>
      </c>
      <c r="G13" t="s">
        <v>6</v>
      </c>
      <c r="H13" t="s">
        <v>7</v>
      </c>
      <c r="I13" t="s">
        <v>7</v>
      </c>
      <c r="J13" t="s">
        <v>8</v>
      </c>
      <c r="K13" t="s">
        <v>23</v>
      </c>
      <c r="L13" t="s">
        <v>18</v>
      </c>
      <c r="M13" t="s">
        <v>7</v>
      </c>
      <c r="N13" t="s">
        <v>11</v>
      </c>
      <c r="O13" s="2">
        <v>-1</v>
      </c>
      <c r="P13" t="s">
        <v>12</v>
      </c>
      <c r="Q13" t="s">
        <v>13</v>
      </c>
      <c r="R13" t="s">
        <v>14</v>
      </c>
      <c r="S13" t="s">
        <v>15</v>
      </c>
      <c r="T13" s="3">
        <v>45352</v>
      </c>
      <c r="U13" s="3">
        <v>45352</v>
      </c>
      <c r="V13" s="3">
        <v>45352</v>
      </c>
      <c r="W13" s="2">
        <v>-1</v>
      </c>
      <c r="X13" s="4">
        <v>-1334.2</v>
      </c>
      <c r="Y13" s="11">
        <f t="shared" si="0"/>
        <v>1334.2</v>
      </c>
    </row>
    <row r="14" spans="1:25" x14ac:dyDescent="0.25">
      <c r="A14" t="s">
        <v>0</v>
      </c>
      <c r="B14" t="s">
        <v>1</v>
      </c>
      <c r="C14" t="s">
        <v>2</v>
      </c>
      <c r="D14" t="s">
        <v>45</v>
      </c>
      <c r="E14" t="s">
        <v>4</v>
      </c>
      <c r="F14" t="s">
        <v>5</v>
      </c>
      <c r="G14" t="s">
        <v>6</v>
      </c>
      <c r="H14" t="s">
        <v>7</v>
      </c>
      <c r="I14" t="s">
        <v>7</v>
      </c>
      <c r="J14" t="s">
        <v>8</v>
      </c>
      <c r="K14" t="s">
        <v>46</v>
      </c>
      <c r="L14" t="s">
        <v>47</v>
      </c>
      <c r="M14" t="s">
        <v>7</v>
      </c>
      <c r="N14" t="s">
        <v>11</v>
      </c>
      <c r="O14" s="2">
        <v>-1</v>
      </c>
      <c r="P14" t="s">
        <v>12</v>
      </c>
      <c r="Q14" t="s">
        <v>13</v>
      </c>
      <c r="R14" t="s">
        <v>14</v>
      </c>
      <c r="S14" t="s">
        <v>15</v>
      </c>
      <c r="T14" s="3">
        <v>45352</v>
      </c>
      <c r="U14" s="3">
        <v>45352</v>
      </c>
      <c r="V14" s="3">
        <v>45352</v>
      </c>
      <c r="W14" s="2">
        <v>-1</v>
      </c>
      <c r="X14" s="4">
        <v>-1334.2</v>
      </c>
      <c r="Y14" s="11">
        <f t="shared" si="0"/>
        <v>1334.2</v>
      </c>
    </row>
    <row r="15" spans="1:25" x14ac:dyDescent="0.25">
      <c r="A15" t="s">
        <v>0</v>
      </c>
      <c r="B15" t="s">
        <v>1</v>
      </c>
      <c r="C15" t="s">
        <v>2</v>
      </c>
      <c r="D15" t="s">
        <v>48</v>
      </c>
      <c r="E15" t="s">
        <v>4</v>
      </c>
      <c r="F15" t="s">
        <v>5</v>
      </c>
      <c r="G15" t="s">
        <v>6</v>
      </c>
      <c r="H15" t="s">
        <v>7</v>
      </c>
      <c r="I15" t="s">
        <v>7</v>
      </c>
      <c r="J15" t="s">
        <v>8</v>
      </c>
      <c r="K15" t="s">
        <v>41</v>
      </c>
      <c r="L15" t="s">
        <v>49</v>
      </c>
      <c r="M15" t="s">
        <v>7</v>
      </c>
      <c r="N15" t="s">
        <v>11</v>
      </c>
      <c r="O15" s="2">
        <v>-1</v>
      </c>
      <c r="P15" t="s">
        <v>12</v>
      </c>
      <c r="Q15" t="s">
        <v>13</v>
      </c>
      <c r="R15" t="s">
        <v>14</v>
      </c>
      <c r="S15" t="s">
        <v>15</v>
      </c>
      <c r="T15" s="3">
        <v>45355</v>
      </c>
      <c r="U15" s="3">
        <v>45355</v>
      </c>
      <c r="V15" s="3">
        <v>45355</v>
      </c>
      <c r="W15" s="2">
        <v>-1</v>
      </c>
      <c r="X15" s="4">
        <v>-1335.78</v>
      </c>
      <c r="Y15" s="11">
        <f t="shared" si="0"/>
        <v>1335.78</v>
      </c>
    </row>
    <row r="16" spans="1:25" x14ac:dyDescent="0.25">
      <c r="A16" t="s">
        <v>0</v>
      </c>
      <c r="B16" t="s">
        <v>1</v>
      </c>
      <c r="C16" t="s">
        <v>2</v>
      </c>
      <c r="D16" t="s">
        <v>50</v>
      </c>
      <c r="E16" t="s">
        <v>4</v>
      </c>
      <c r="F16" t="s">
        <v>5</v>
      </c>
      <c r="G16" t="s">
        <v>6</v>
      </c>
      <c r="H16" t="s">
        <v>7</v>
      </c>
      <c r="I16" t="s">
        <v>7</v>
      </c>
      <c r="J16" t="s">
        <v>8</v>
      </c>
      <c r="K16" t="s">
        <v>38</v>
      </c>
      <c r="L16" t="s">
        <v>51</v>
      </c>
      <c r="M16" t="s">
        <v>7</v>
      </c>
      <c r="N16" t="s">
        <v>11</v>
      </c>
      <c r="O16" s="2">
        <v>-1</v>
      </c>
      <c r="P16" t="s">
        <v>12</v>
      </c>
      <c r="Q16" t="s">
        <v>13</v>
      </c>
      <c r="R16" t="s">
        <v>14</v>
      </c>
      <c r="S16" t="s">
        <v>15</v>
      </c>
      <c r="T16" s="3">
        <v>45355</v>
      </c>
      <c r="U16" s="3">
        <v>45355</v>
      </c>
      <c r="V16" s="3">
        <v>45355</v>
      </c>
      <c r="W16" s="2">
        <v>-1</v>
      </c>
      <c r="X16" s="4">
        <v>-1335.78</v>
      </c>
      <c r="Y16" s="11">
        <f t="shared" si="0"/>
        <v>1335.78</v>
      </c>
    </row>
    <row r="17" spans="1:25" x14ac:dyDescent="0.25">
      <c r="A17" t="s">
        <v>0</v>
      </c>
      <c r="B17" t="s">
        <v>1</v>
      </c>
      <c r="C17" t="s">
        <v>2</v>
      </c>
      <c r="D17" t="s">
        <v>52</v>
      </c>
      <c r="E17" t="s">
        <v>4</v>
      </c>
      <c r="F17" t="s">
        <v>5</v>
      </c>
      <c r="G17" t="s">
        <v>6</v>
      </c>
      <c r="H17" t="s">
        <v>7</v>
      </c>
      <c r="I17" t="s">
        <v>7</v>
      </c>
      <c r="J17" t="s">
        <v>8</v>
      </c>
      <c r="K17" t="s">
        <v>53</v>
      </c>
      <c r="L17" t="s">
        <v>54</v>
      </c>
      <c r="M17" t="s">
        <v>7</v>
      </c>
      <c r="N17" t="s">
        <v>11</v>
      </c>
      <c r="O17" s="2">
        <v>-1</v>
      </c>
      <c r="P17" t="s">
        <v>12</v>
      </c>
      <c r="Q17" t="s">
        <v>13</v>
      </c>
      <c r="R17" t="s">
        <v>14</v>
      </c>
      <c r="S17" t="s">
        <v>15</v>
      </c>
      <c r="T17" s="3">
        <v>45357</v>
      </c>
      <c r="U17" s="3">
        <v>45357</v>
      </c>
      <c r="V17" s="3">
        <v>45357</v>
      </c>
      <c r="W17" s="2">
        <v>-1</v>
      </c>
      <c r="X17" s="4">
        <v>-1338.98</v>
      </c>
      <c r="Y17" s="11">
        <f t="shared" si="0"/>
        <v>1338.98</v>
      </c>
    </row>
    <row r="18" spans="1:25" x14ac:dyDescent="0.25">
      <c r="A18" t="s">
        <v>0</v>
      </c>
      <c r="B18" t="s">
        <v>1</v>
      </c>
      <c r="C18" t="s">
        <v>2</v>
      </c>
      <c r="D18" t="s">
        <v>55</v>
      </c>
      <c r="E18" t="s">
        <v>4</v>
      </c>
      <c r="F18" t="s">
        <v>5</v>
      </c>
      <c r="G18" t="s">
        <v>6</v>
      </c>
      <c r="H18" t="s">
        <v>7</v>
      </c>
      <c r="I18" t="s">
        <v>7</v>
      </c>
      <c r="J18" t="s">
        <v>8</v>
      </c>
      <c r="K18" t="s">
        <v>56</v>
      </c>
      <c r="L18" t="s">
        <v>57</v>
      </c>
      <c r="M18" t="s">
        <v>58</v>
      </c>
      <c r="N18" t="s">
        <v>11</v>
      </c>
      <c r="O18" s="2">
        <v>-9</v>
      </c>
      <c r="P18" t="s">
        <v>59</v>
      </c>
      <c r="Q18" t="s">
        <v>13</v>
      </c>
      <c r="R18" t="s">
        <v>14</v>
      </c>
      <c r="S18" t="s">
        <v>15</v>
      </c>
      <c r="T18" s="3">
        <v>45369</v>
      </c>
      <c r="U18" s="3">
        <v>45369</v>
      </c>
      <c r="V18" s="3">
        <v>45369</v>
      </c>
      <c r="W18" s="2">
        <v>-9</v>
      </c>
      <c r="X18" s="4">
        <v>-12055.28</v>
      </c>
      <c r="Y18" s="11">
        <f t="shared" si="0"/>
        <v>1339.4755555555557</v>
      </c>
    </row>
    <row r="19" spans="1:25" x14ac:dyDescent="0.25">
      <c r="A19" t="s">
        <v>0</v>
      </c>
      <c r="B19" t="s">
        <v>1</v>
      </c>
      <c r="C19" t="s">
        <v>2</v>
      </c>
      <c r="D19" t="s">
        <v>60</v>
      </c>
      <c r="E19" t="s">
        <v>4</v>
      </c>
      <c r="F19" t="s">
        <v>5</v>
      </c>
      <c r="G19" t="s">
        <v>6</v>
      </c>
      <c r="H19" t="s">
        <v>7</v>
      </c>
      <c r="I19" t="s">
        <v>7</v>
      </c>
      <c r="J19" t="s">
        <v>8</v>
      </c>
      <c r="K19" t="s">
        <v>61</v>
      </c>
      <c r="L19" t="s">
        <v>54</v>
      </c>
      <c r="M19" t="s">
        <v>58</v>
      </c>
      <c r="N19" t="s">
        <v>11</v>
      </c>
      <c r="O19" s="2">
        <v>-1</v>
      </c>
      <c r="P19" t="s">
        <v>12</v>
      </c>
      <c r="Q19" t="s">
        <v>13</v>
      </c>
      <c r="R19" t="s">
        <v>14</v>
      </c>
      <c r="S19" t="s">
        <v>15</v>
      </c>
      <c r="T19" s="3">
        <v>45373</v>
      </c>
      <c r="U19" s="3">
        <v>45373</v>
      </c>
      <c r="V19" s="3">
        <v>45373</v>
      </c>
      <c r="W19" s="2">
        <v>-1</v>
      </c>
      <c r="X19" s="4">
        <v>-1339.48</v>
      </c>
      <c r="Y19" s="11">
        <f t="shared" si="0"/>
        <v>1339.48</v>
      </c>
    </row>
    <row r="20" spans="1:25" x14ac:dyDescent="0.25">
      <c r="A20" t="s">
        <v>0</v>
      </c>
      <c r="B20" t="s">
        <v>1</v>
      </c>
      <c r="C20" t="s">
        <v>2</v>
      </c>
      <c r="D20" t="s">
        <v>62</v>
      </c>
      <c r="E20" t="s">
        <v>4</v>
      </c>
      <c r="F20" t="s">
        <v>5</v>
      </c>
      <c r="G20" t="s">
        <v>6</v>
      </c>
      <c r="H20" t="s">
        <v>7</v>
      </c>
      <c r="I20" t="s">
        <v>7</v>
      </c>
      <c r="J20" t="s">
        <v>8</v>
      </c>
      <c r="K20" t="s">
        <v>17</v>
      </c>
      <c r="L20" t="s">
        <v>63</v>
      </c>
      <c r="M20" t="s">
        <v>58</v>
      </c>
      <c r="N20" t="s">
        <v>11</v>
      </c>
      <c r="O20" s="2">
        <v>-2</v>
      </c>
      <c r="P20" t="s">
        <v>59</v>
      </c>
      <c r="Q20" t="s">
        <v>13</v>
      </c>
      <c r="R20" t="s">
        <v>14</v>
      </c>
      <c r="S20" t="s">
        <v>15</v>
      </c>
      <c r="T20" s="3">
        <v>45378</v>
      </c>
      <c r="U20" s="3">
        <v>45378</v>
      </c>
      <c r="V20" s="3">
        <v>45378</v>
      </c>
      <c r="W20" s="2">
        <v>-2</v>
      </c>
      <c r="X20" s="4">
        <v>-2678.96</v>
      </c>
      <c r="Y20" s="11">
        <f t="shared" si="0"/>
        <v>1339.48</v>
      </c>
    </row>
    <row r="21" spans="1:25" x14ac:dyDescent="0.25">
      <c r="A21" t="s">
        <v>0</v>
      </c>
      <c r="B21" t="s">
        <v>1</v>
      </c>
      <c r="C21" t="s">
        <v>2</v>
      </c>
      <c r="D21" t="s">
        <v>64</v>
      </c>
      <c r="E21" t="s">
        <v>4</v>
      </c>
      <c r="F21" t="s">
        <v>5</v>
      </c>
      <c r="G21" t="s">
        <v>6</v>
      </c>
      <c r="H21" t="s">
        <v>7</v>
      </c>
      <c r="I21" t="s">
        <v>7</v>
      </c>
      <c r="J21" t="s">
        <v>8</v>
      </c>
      <c r="K21" t="s">
        <v>65</v>
      </c>
      <c r="L21" t="s">
        <v>66</v>
      </c>
      <c r="M21" t="s">
        <v>58</v>
      </c>
      <c r="N21" t="s">
        <v>11</v>
      </c>
      <c r="O21" s="2">
        <v>-1</v>
      </c>
      <c r="P21" t="s">
        <v>12</v>
      </c>
      <c r="Q21" t="s">
        <v>13</v>
      </c>
      <c r="R21" t="s">
        <v>14</v>
      </c>
      <c r="S21" t="s">
        <v>15</v>
      </c>
      <c r="T21" s="3">
        <v>45387</v>
      </c>
      <c r="U21" s="3">
        <v>45387</v>
      </c>
      <c r="V21" s="3">
        <v>45387</v>
      </c>
      <c r="W21" s="2">
        <v>-1</v>
      </c>
      <c r="X21" s="4">
        <v>-1339.48</v>
      </c>
      <c r="Y21" s="11">
        <f t="shared" si="0"/>
        <v>1339.48</v>
      </c>
    </row>
    <row r="22" spans="1:25" x14ac:dyDescent="0.25">
      <c r="A22" t="s">
        <v>0</v>
      </c>
      <c r="B22" t="s">
        <v>1</v>
      </c>
      <c r="C22" t="s">
        <v>2</v>
      </c>
      <c r="D22" t="s">
        <v>67</v>
      </c>
      <c r="E22" t="s">
        <v>4</v>
      </c>
      <c r="F22" t="s">
        <v>5</v>
      </c>
      <c r="G22" t="s">
        <v>6</v>
      </c>
      <c r="H22" t="s">
        <v>7</v>
      </c>
      <c r="I22" t="s">
        <v>7</v>
      </c>
      <c r="J22" t="s">
        <v>8</v>
      </c>
      <c r="K22" t="s">
        <v>35</v>
      </c>
      <c r="L22" t="s">
        <v>68</v>
      </c>
      <c r="M22" t="s">
        <v>58</v>
      </c>
      <c r="N22" t="s">
        <v>11</v>
      </c>
      <c r="O22" s="2">
        <v>-1</v>
      </c>
      <c r="P22" t="s">
        <v>12</v>
      </c>
      <c r="Q22" t="s">
        <v>13</v>
      </c>
      <c r="R22" t="s">
        <v>14</v>
      </c>
      <c r="S22" t="s">
        <v>15</v>
      </c>
      <c r="T22" s="3">
        <v>45391</v>
      </c>
      <c r="U22" s="3">
        <v>45391</v>
      </c>
      <c r="V22" s="3">
        <v>45391</v>
      </c>
      <c r="W22" s="2">
        <v>-1</v>
      </c>
      <c r="X22" s="4">
        <v>-1321.83</v>
      </c>
      <c r="Y22" s="11">
        <f t="shared" si="0"/>
        <v>1321.83</v>
      </c>
    </row>
    <row r="23" spans="1:25" x14ac:dyDescent="0.25">
      <c r="A23" t="s">
        <v>0</v>
      </c>
      <c r="B23" t="s">
        <v>1</v>
      </c>
      <c r="C23" t="s">
        <v>2</v>
      </c>
      <c r="D23" t="s">
        <v>69</v>
      </c>
      <c r="E23" t="s">
        <v>4</v>
      </c>
      <c r="F23" t="s">
        <v>5</v>
      </c>
      <c r="G23" t="s">
        <v>6</v>
      </c>
      <c r="H23" t="s">
        <v>7</v>
      </c>
      <c r="I23" t="s">
        <v>7</v>
      </c>
      <c r="J23" t="s">
        <v>8</v>
      </c>
      <c r="K23" t="s">
        <v>35</v>
      </c>
      <c r="L23" t="s">
        <v>70</v>
      </c>
      <c r="M23" t="s">
        <v>58</v>
      </c>
      <c r="N23" t="s">
        <v>11</v>
      </c>
      <c r="O23" s="2">
        <v>-1</v>
      </c>
      <c r="P23" t="s">
        <v>12</v>
      </c>
      <c r="Q23" t="s">
        <v>13</v>
      </c>
      <c r="R23" t="s">
        <v>14</v>
      </c>
      <c r="S23" t="s">
        <v>15</v>
      </c>
      <c r="T23" s="3">
        <v>45392</v>
      </c>
      <c r="U23" s="3">
        <v>45392</v>
      </c>
      <c r="V23" s="3">
        <v>45392</v>
      </c>
      <c r="W23" s="2">
        <v>-1</v>
      </c>
      <c r="X23" s="4">
        <v>-1321.72</v>
      </c>
      <c r="Y23" s="11">
        <f t="shared" si="0"/>
        <v>1321.72</v>
      </c>
    </row>
    <row r="24" spans="1:25" x14ac:dyDescent="0.25">
      <c r="A24" t="s">
        <v>0</v>
      </c>
      <c r="B24" t="s">
        <v>1</v>
      </c>
      <c r="C24" t="s">
        <v>2</v>
      </c>
      <c r="D24" t="s">
        <v>71</v>
      </c>
      <c r="E24" t="s">
        <v>4</v>
      </c>
      <c r="F24" t="s">
        <v>5</v>
      </c>
      <c r="G24" t="s">
        <v>6</v>
      </c>
      <c r="H24" t="s">
        <v>7</v>
      </c>
      <c r="I24" t="s">
        <v>7</v>
      </c>
      <c r="J24" t="s">
        <v>8</v>
      </c>
      <c r="K24" t="s">
        <v>72</v>
      </c>
      <c r="L24" t="s">
        <v>54</v>
      </c>
      <c r="M24" t="s">
        <v>73</v>
      </c>
      <c r="N24" t="s">
        <v>11</v>
      </c>
      <c r="O24" s="2">
        <v>-1</v>
      </c>
      <c r="P24" t="s">
        <v>12</v>
      </c>
      <c r="Q24" t="s">
        <v>13</v>
      </c>
      <c r="R24" t="s">
        <v>14</v>
      </c>
      <c r="S24" t="s">
        <v>15</v>
      </c>
      <c r="T24" s="3">
        <v>45393</v>
      </c>
      <c r="U24" s="3">
        <v>45393</v>
      </c>
      <c r="V24" s="3">
        <v>45393</v>
      </c>
      <c r="W24" s="2">
        <v>-1</v>
      </c>
      <c r="X24" s="4">
        <v>-1321.67</v>
      </c>
      <c r="Y24" s="11">
        <f t="shared" si="0"/>
        <v>1321.67</v>
      </c>
    </row>
    <row r="25" spans="1:25" x14ac:dyDescent="0.25">
      <c r="A25" t="s">
        <v>0</v>
      </c>
      <c r="B25" t="s">
        <v>1</v>
      </c>
      <c r="C25" t="s">
        <v>2</v>
      </c>
      <c r="D25" t="s">
        <v>74</v>
      </c>
      <c r="E25" t="s">
        <v>4</v>
      </c>
      <c r="F25" t="s">
        <v>5</v>
      </c>
      <c r="G25" t="s">
        <v>6</v>
      </c>
      <c r="H25" t="s">
        <v>7</v>
      </c>
      <c r="I25" t="s">
        <v>7</v>
      </c>
      <c r="J25" t="s">
        <v>8</v>
      </c>
      <c r="K25" t="s">
        <v>75</v>
      </c>
      <c r="L25" t="s">
        <v>54</v>
      </c>
      <c r="M25" t="s">
        <v>58</v>
      </c>
      <c r="N25" t="s">
        <v>11</v>
      </c>
      <c r="O25" s="2">
        <v>-1</v>
      </c>
      <c r="P25" t="s">
        <v>12</v>
      </c>
      <c r="Q25" t="s">
        <v>13</v>
      </c>
      <c r="R25" t="s">
        <v>14</v>
      </c>
      <c r="S25" t="s">
        <v>15</v>
      </c>
      <c r="T25" s="3">
        <v>45398</v>
      </c>
      <c r="U25" s="3">
        <v>45398</v>
      </c>
      <c r="V25" s="3">
        <v>45398</v>
      </c>
      <c r="W25" s="2">
        <v>-1</v>
      </c>
      <c r="X25" s="4">
        <v>-1321.61</v>
      </c>
      <c r="Y25" s="11">
        <f t="shared" si="0"/>
        <v>1321.61</v>
      </c>
    </row>
    <row r="26" spans="1:25" x14ac:dyDescent="0.25">
      <c r="A26" t="s">
        <v>0</v>
      </c>
      <c r="B26" t="s">
        <v>1</v>
      </c>
      <c r="C26" t="s">
        <v>2</v>
      </c>
      <c r="D26" t="s">
        <v>76</v>
      </c>
      <c r="E26" t="s">
        <v>4</v>
      </c>
      <c r="F26" t="s">
        <v>5</v>
      </c>
      <c r="G26" t="s">
        <v>6</v>
      </c>
      <c r="H26" t="s">
        <v>7</v>
      </c>
      <c r="I26" t="s">
        <v>7</v>
      </c>
      <c r="J26" t="s">
        <v>8</v>
      </c>
      <c r="K26" t="s">
        <v>77</v>
      </c>
      <c r="L26" t="s">
        <v>78</v>
      </c>
      <c r="M26" t="s">
        <v>73</v>
      </c>
      <c r="N26" t="s">
        <v>11</v>
      </c>
      <c r="O26" s="2">
        <v>-1</v>
      </c>
      <c r="P26" t="s">
        <v>12</v>
      </c>
      <c r="Q26" t="s">
        <v>13</v>
      </c>
      <c r="R26" t="s">
        <v>14</v>
      </c>
      <c r="S26" t="s">
        <v>15</v>
      </c>
      <c r="T26" s="3">
        <v>45399</v>
      </c>
      <c r="U26" s="3">
        <v>45399</v>
      </c>
      <c r="V26" s="3">
        <v>45399</v>
      </c>
      <c r="W26" s="2">
        <v>-1</v>
      </c>
      <c r="X26" s="4">
        <v>-1321.6</v>
      </c>
      <c r="Y26" s="11">
        <f t="shared" si="0"/>
        <v>1321.6</v>
      </c>
    </row>
    <row r="27" spans="1:25" x14ac:dyDescent="0.25">
      <c r="A27" t="s">
        <v>0</v>
      </c>
      <c r="B27" t="s">
        <v>1</v>
      </c>
      <c r="C27" t="s">
        <v>2</v>
      </c>
      <c r="D27" t="s">
        <v>79</v>
      </c>
      <c r="E27" t="s">
        <v>4</v>
      </c>
      <c r="F27" t="s">
        <v>5</v>
      </c>
      <c r="G27" t="s">
        <v>6</v>
      </c>
      <c r="H27" t="s">
        <v>7</v>
      </c>
      <c r="I27" t="s">
        <v>7</v>
      </c>
      <c r="J27" t="s">
        <v>8</v>
      </c>
      <c r="K27" t="s">
        <v>80</v>
      </c>
      <c r="L27" t="s">
        <v>81</v>
      </c>
      <c r="M27" t="s">
        <v>58</v>
      </c>
      <c r="N27" t="s">
        <v>11</v>
      </c>
      <c r="O27" s="2">
        <v>-1</v>
      </c>
      <c r="P27" t="s">
        <v>12</v>
      </c>
      <c r="Q27" t="s">
        <v>13</v>
      </c>
      <c r="R27" t="s">
        <v>14</v>
      </c>
      <c r="S27" t="s">
        <v>15</v>
      </c>
      <c r="T27" s="3">
        <v>45418</v>
      </c>
      <c r="U27" s="3">
        <v>45418</v>
      </c>
      <c r="V27" s="3">
        <v>45418</v>
      </c>
      <c r="W27" s="2">
        <v>-1</v>
      </c>
      <c r="X27" s="4">
        <v>-1321.59</v>
      </c>
      <c r="Y27" s="11">
        <f t="shared" si="0"/>
        <v>1321.59</v>
      </c>
    </row>
    <row r="28" spans="1:25" x14ac:dyDescent="0.25">
      <c r="A28" t="s">
        <v>0</v>
      </c>
      <c r="B28" t="s">
        <v>1</v>
      </c>
      <c r="C28" t="s">
        <v>2</v>
      </c>
      <c r="D28" t="s">
        <v>82</v>
      </c>
      <c r="E28" t="s">
        <v>4</v>
      </c>
      <c r="F28" t="s">
        <v>5</v>
      </c>
      <c r="G28" t="s">
        <v>6</v>
      </c>
      <c r="H28" t="s">
        <v>7</v>
      </c>
      <c r="I28" t="s">
        <v>7</v>
      </c>
      <c r="J28" t="s">
        <v>8</v>
      </c>
      <c r="K28" t="s">
        <v>17</v>
      </c>
      <c r="L28" t="s">
        <v>83</v>
      </c>
      <c r="M28" t="s">
        <v>58</v>
      </c>
      <c r="N28" t="s">
        <v>11</v>
      </c>
      <c r="O28" s="2">
        <v>-1</v>
      </c>
      <c r="P28" t="s">
        <v>12</v>
      </c>
      <c r="Q28" t="s">
        <v>13</v>
      </c>
      <c r="R28" t="s">
        <v>14</v>
      </c>
      <c r="S28" t="s">
        <v>15</v>
      </c>
      <c r="T28" s="3">
        <v>45418</v>
      </c>
      <c r="U28" s="3">
        <v>45418</v>
      </c>
      <c r="V28" s="3">
        <v>45418</v>
      </c>
      <c r="W28" s="2">
        <v>-1</v>
      </c>
      <c r="X28" s="4">
        <v>-1321.59</v>
      </c>
      <c r="Y28" s="11">
        <f t="shared" si="0"/>
        <v>1321.59</v>
      </c>
    </row>
    <row r="29" spans="1:25" x14ac:dyDescent="0.25">
      <c r="A29" t="s">
        <v>0</v>
      </c>
      <c r="B29" t="s">
        <v>1</v>
      </c>
      <c r="C29" t="s">
        <v>2</v>
      </c>
      <c r="D29" t="s">
        <v>84</v>
      </c>
      <c r="E29" t="s">
        <v>4</v>
      </c>
      <c r="F29" t="s">
        <v>5</v>
      </c>
      <c r="G29" t="s">
        <v>6</v>
      </c>
      <c r="H29" t="s">
        <v>7</v>
      </c>
      <c r="I29" t="s">
        <v>7</v>
      </c>
      <c r="J29" t="s">
        <v>8</v>
      </c>
      <c r="K29" t="s">
        <v>85</v>
      </c>
      <c r="L29" t="s">
        <v>86</v>
      </c>
      <c r="M29" t="s">
        <v>58</v>
      </c>
      <c r="N29" t="s">
        <v>11</v>
      </c>
      <c r="O29" s="2">
        <v>-1</v>
      </c>
      <c r="P29" t="s">
        <v>12</v>
      </c>
      <c r="Q29" t="s">
        <v>13</v>
      </c>
      <c r="R29" t="s">
        <v>14</v>
      </c>
      <c r="S29" t="s">
        <v>15</v>
      </c>
      <c r="T29" s="3">
        <v>45433</v>
      </c>
      <c r="U29" s="3">
        <v>45433</v>
      </c>
      <c r="V29" s="3">
        <v>45433</v>
      </c>
      <c r="W29" s="2">
        <v>-1</v>
      </c>
      <c r="X29" s="4">
        <v>-1321.59</v>
      </c>
      <c r="Y29" s="11">
        <f t="shared" si="0"/>
        <v>1321.59</v>
      </c>
    </row>
    <row r="30" spans="1:25" x14ac:dyDescent="0.25">
      <c r="A30" t="s">
        <v>0</v>
      </c>
      <c r="B30" t="s">
        <v>1</v>
      </c>
      <c r="C30" t="s">
        <v>2</v>
      </c>
      <c r="D30" t="s">
        <v>87</v>
      </c>
      <c r="E30" t="s">
        <v>4</v>
      </c>
      <c r="F30" t="s">
        <v>5</v>
      </c>
      <c r="G30" t="s">
        <v>6</v>
      </c>
      <c r="H30" t="s">
        <v>7</v>
      </c>
      <c r="I30" t="s">
        <v>7</v>
      </c>
      <c r="J30" t="s">
        <v>8</v>
      </c>
      <c r="K30" t="s">
        <v>85</v>
      </c>
      <c r="L30" t="s">
        <v>88</v>
      </c>
      <c r="M30" t="s">
        <v>58</v>
      </c>
      <c r="N30" t="s">
        <v>11</v>
      </c>
      <c r="O30" s="2">
        <v>-1</v>
      </c>
      <c r="P30" t="s">
        <v>12</v>
      </c>
      <c r="Q30" t="s">
        <v>13</v>
      </c>
      <c r="R30" t="s">
        <v>14</v>
      </c>
      <c r="S30" t="s">
        <v>15</v>
      </c>
      <c r="T30" s="3">
        <v>45433</v>
      </c>
      <c r="U30" s="3">
        <v>45433</v>
      </c>
      <c r="V30" s="3">
        <v>45433</v>
      </c>
      <c r="W30" s="2">
        <v>-1</v>
      </c>
      <c r="X30" s="4">
        <v>-1321.59</v>
      </c>
      <c r="Y30" s="11">
        <f t="shared" si="0"/>
        <v>1321.59</v>
      </c>
    </row>
    <row r="31" spans="1:25" x14ac:dyDescent="0.25">
      <c r="A31" t="s">
        <v>0</v>
      </c>
      <c r="B31" t="s">
        <v>1</v>
      </c>
      <c r="C31" t="s">
        <v>2</v>
      </c>
      <c r="D31" t="s">
        <v>89</v>
      </c>
      <c r="E31" t="s">
        <v>4</v>
      </c>
      <c r="F31" t="s">
        <v>5</v>
      </c>
      <c r="G31" t="s">
        <v>6</v>
      </c>
      <c r="H31" t="s">
        <v>7</v>
      </c>
      <c r="I31" t="s">
        <v>7</v>
      </c>
      <c r="J31" t="s">
        <v>8</v>
      </c>
      <c r="K31" t="s">
        <v>53</v>
      </c>
      <c r="L31" t="s">
        <v>90</v>
      </c>
      <c r="M31" t="s">
        <v>73</v>
      </c>
      <c r="N31" t="s">
        <v>11</v>
      </c>
      <c r="O31" s="2">
        <v>-1</v>
      </c>
      <c r="P31" t="s">
        <v>12</v>
      </c>
      <c r="Q31" t="s">
        <v>13</v>
      </c>
      <c r="R31" t="s">
        <v>14</v>
      </c>
      <c r="S31" t="s">
        <v>15</v>
      </c>
      <c r="T31" s="3">
        <v>45440</v>
      </c>
      <c r="U31" s="3">
        <v>45440</v>
      </c>
      <c r="V31" s="3">
        <v>45440</v>
      </c>
      <c r="W31" s="2">
        <v>-1</v>
      </c>
      <c r="X31" s="4">
        <v>-1260.57</v>
      </c>
      <c r="Y31" s="11">
        <f t="shared" si="0"/>
        <v>1260.57</v>
      </c>
    </row>
    <row r="32" spans="1:25" x14ac:dyDescent="0.25">
      <c r="A32" t="s">
        <v>0</v>
      </c>
      <c r="B32" t="s">
        <v>1</v>
      </c>
      <c r="C32" t="s">
        <v>2</v>
      </c>
      <c r="D32" t="s">
        <v>91</v>
      </c>
      <c r="E32" t="s">
        <v>4</v>
      </c>
      <c r="F32" t="s">
        <v>5</v>
      </c>
      <c r="G32" t="s">
        <v>6</v>
      </c>
      <c r="H32" t="s">
        <v>7</v>
      </c>
      <c r="I32" t="s">
        <v>7</v>
      </c>
      <c r="J32" t="s">
        <v>8</v>
      </c>
      <c r="K32" t="s">
        <v>92</v>
      </c>
      <c r="L32" t="s">
        <v>93</v>
      </c>
      <c r="M32" t="s">
        <v>58</v>
      </c>
      <c r="N32" t="s">
        <v>11</v>
      </c>
      <c r="O32" s="2">
        <v>-1</v>
      </c>
      <c r="P32" t="s">
        <v>12</v>
      </c>
      <c r="Q32" t="s">
        <v>13</v>
      </c>
      <c r="R32" t="s">
        <v>14</v>
      </c>
      <c r="S32" t="s">
        <v>15</v>
      </c>
      <c r="T32" s="3">
        <v>45440</v>
      </c>
      <c r="U32" s="3">
        <v>45440</v>
      </c>
      <c r="V32" s="3">
        <v>45440</v>
      </c>
      <c r="W32" s="2">
        <v>-1</v>
      </c>
      <c r="X32" s="4">
        <v>-1272.1500000000001</v>
      </c>
      <c r="Y32" s="11">
        <f t="shared" si="0"/>
        <v>1272.1500000000001</v>
      </c>
    </row>
    <row r="33" spans="1:25" x14ac:dyDescent="0.25">
      <c r="A33" t="s">
        <v>0</v>
      </c>
      <c r="B33" t="s">
        <v>1</v>
      </c>
      <c r="C33" t="s">
        <v>2</v>
      </c>
      <c r="D33" t="s">
        <v>94</v>
      </c>
      <c r="E33" t="s">
        <v>4</v>
      </c>
      <c r="F33" t="s">
        <v>5</v>
      </c>
      <c r="G33" t="s">
        <v>6</v>
      </c>
      <c r="H33" t="s">
        <v>7</v>
      </c>
      <c r="I33" t="s">
        <v>7</v>
      </c>
      <c r="J33" t="s">
        <v>8</v>
      </c>
      <c r="K33" t="s">
        <v>95</v>
      </c>
      <c r="L33" t="s">
        <v>96</v>
      </c>
      <c r="M33" t="s">
        <v>58</v>
      </c>
      <c r="N33" t="s">
        <v>11</v>
      </c>
      <c r="O33" s="2">
        <v>-1</v>
      </c>
      <c r="P33" t="s">
        <v>97</v>
      </c>
      <c r="Q33" t="s">
        <v>13</v>
      </c>
      <c r="R33" t="s">
        <v>14</v>
      </c>
      <c r="S33" t="s">
        <v>15</v>
      </c>
      <c r="T33" s="3">
        <v>45442</v>
      </c>
      <c r="U33" s="3">
        <v>45442</v>
      </c>
      <c r="V33" s="3">
        <v>45442</v>
      </c>
      <c r="W33" s="2">
        <v>-1</v>
      </c>
      <c r="X33" s="4">
        <v>-1246.82</v>
      </c>
      <c r="Y33" s="11">
        <f t="shared" si="0"/>
        <v>1246.82</v>
      </c>
    </row>
    <row r="34" spans="1:25" x14ac:dyDescent="0.25">
      <c r="A34" t="s">
        <v>0</v>
      </c>
      <c r="B34" t="s">
        <v>1</v>
      </c>
      <c r="C34" t="s">
        <v>2</v>
      </c>
      <c r="D34" t="s">
        <v>98</v>
      </c>
      <c r="E34" t="s">
        <v>4</v>
      </c>
      <c r="F34" t="s">
        <v>5</v>
      </c>
      <c r="G34" t="s">
        <v>6</v>
      </c>
      <c r="H34" t="s">
        <v>7</v>
      </c>
      <c r="I34" t="s">
        <v>7</v>
      </c>
      <c r="J34" t="s">
        <v>8</v>
      </c>
      <c r="K34" t="s">
        <v>95</v>
      </c>
      <c r="L34" t="s">
        <v>96</v>
      </c>
      <c r="M34" t="s">
        <v>58</v>
      </c>
      <c r="N34" t="s">
        <v>11</v>
      </c>
      <c r="O34" s="2">
        <v>-1</v>
      </c>
      <c r="P34" t="s">
        <v>97</v>
      </c>
      <c r="Q34" t="s">
        <v>13</v>
      </c>
      <c r="R34" t="s">
        <v>14</v>
      </c>
      <c r="S34" t="s">
        <v>15</v>
      </c>
      <c r="T34" s="3">
        <v>45446</v>
      </c>
      <c r="U34" s="3">
        <v>45446</v>
      </c>
      <c r="V34" s="3">
        <v>45446</v>
      </c>
      <c r="W34" s="2">
        <v>-1</v>
      </c>
      <c r="X34" s="4">
        <v>-1245.52</v>
      </c>
      <c r="Y34" s="11">
        <f t="shared" si="0"/>
        <v>1245.52</v>
      </c>
    </row>
    <row r="35" spans="1:25" x14ac:dyDescent="0.25">
      <c r="A35" t="s">
        <v>0</v>
      </c>
      <c r="B35" t="s">
        <v>1</v>
      </c>
      <c r="C35" t="s">
        <v>2</v>
      </c>
      <c r="D35" t="s">
        <v>99</v>
      </c>
      <c r="E35" t="s">
        <v>4</v>
      </c>
      <c r="F35" t="s">
        <v>5</v>
      </c>
      <c r="G35" t="s">
        <v>6</v>
      </c>
      <c r="H35" t="s">
        <v>7</v>
      </c>
      <c r="I35" t="s">
        <v>7</v>
      </c>
      <c r="J35" t="s">
        <v>8</v>
      </c>
      <c r="K35" t="s">
        <v>46</v>
      </c>
      <c r="L35" t="s">
        <v>100</v>
      </c>
      <c r="M35" t="s">
        <v>58</v>
      </c>
      <c r="N35" t="s">
        <v>11</v>
      </c>
      <c r="O35" s="2">
        <v>-1</v>
      </c>
      <c r="P35" t="s">
        <v>12</v>
      </c>
      <c r="Q35" t="s">
        <v>13</v>
      </c>
      <c r="R35" t="s">
        <v>14</v>
      </c>
      <c r="S35" t="s">
        <v>15</v>
      </c>
      <c r="T35" s="3">
        <v>45454</v>
      </c>
      <c r="U35" s="3">
        <v>45454</v>
      </c>
      <c r="V35" s="3">
        <v>45454</v>
      </c>
      <c r="W35" s="2">
        <v>-1</v>
      </c>
      <c r="X35" s="4">
        <v>-1245.26</v>
      </c>
      <c r="Y35" s="11">
        <f t="shared" si="0"/>
        <v>1245.26</v>
      </c>
    </row>
    <row r="36" spans="1:25" x14ac:dyDescent="0.25">
      <c r="A36" t="s">
        <v>0</v>
      </c>
      <c r="B36" t="s">
        <v>1</v>
      </c>
      <c r="C36" t="s">
        <v>2</v>
      </c>
      <c r="D36" t="s">
        <v>101</v>
      </c>
      <c r="E36" t="s">
        <v>4</v>
      </c>
      <c r="F36" t="s">
        <v>5</v>
      </c>
      <c r="G36" t="s">
        <v>6</v>
      </c>
      <c r="H36" t="s">
        <v>7</v>
      </c>
      <c r="I36" t="s">
        <v>7</v>
      </c>
      <c r="J36" t="s">
        <v>8</v>
      </c>
      <c r="K36" t="s">
        <v>65</v>
      </c>
      <c r="L36" t="s">
        <v>102</v>
      </c>
      <c r="M36" t="s">
        <v>58</v>
      </c>
      <c r="N36" t="s">
        <v>11</v>
      </c>
      <c r="O36" s="2">
        <v>-1</v>
      </c>
      <c r="P36" t="s">
        <v>12</v>
      </c>
      <c r="Q36" t="s">
        <v>13</v>
      </c>
      <c r="R36" t="s">
        <v>14</v>
      </c>
      <c r="S36" t="s">
        <v>15</v>
      </c>
      <c r="T36" s="3">
        <v>45455</v>
      </c>
      <c r="U36" s="3">
        <v>45455</v>
      </c>
      <c r="V36" s="3">
        <v>45455</v>
      </c>
      <c r="W36" s="2">
        <v>-1</v>
      </c>
      <c r="X36" s="4">
        <v>-1245.26</v>
      </c>
      <c r="Y36" s="11">
        <f t="shared" si="0"/>
        <v>1245.26</v>
      </c>
    </row>
    <row r="37" spans="1:25" x14ac:dyDescent="0.25">
      <c r="A37" t="s">
        <v>0</v>
      </c>
      <c r="B37" t="s">
        <v>1</v>
      </c>
      <c r="C37" t="s">
        <v>2</v>
      </c>
      <c r="D37" t="s">
        <v>103</v>
      </c>
      <c r="E37" t="s">
        <v>4</v>
      </c>
      <c r="F37" t="s">
        <v>5</v>
      </c>
      <c r="G37" t="s">
        <v>6</v>
      </c>
      <c r="H37" t="s">
        <v>7</v>
      </c>
      <c r="I37" t="s">
        <v>7</v>
      </c>
      <c r="J37" t="s">
        <v>8</v>
      </c>
      <c r="K37" t="s">
        <v>65</v>
      </c>
      <c r="L37" t="s">
        <v>104</v>
      </c>
      <c r="M37" t="s">
        <v>58</v>
      </c>
      <c r="N37" t="s">
        <v>11</v>
      </c>
      <c r="O37" s="2">
        <v>-1</v>
      </c>
      <c r="P37" t="s">
        <v>12</v>
      </c>
      <c r="Q37" t="s">
        <v>13</v>
      </c>
      <c r="R37" t="s">
        <v>14</v>
      </c>
      <c r="S37" t="s">
        <v>15</v>
      </c>
      <c r="T37" s="3">
        <v>45461</v>
      </c>
      <c r="U37" s="3">
        <v>45461</v>
      </c>
      <c r="V37" s="3">
        <v>45461</v>
      </c>
      <c r="W37" s="2">
        <v>-1</v>
      </c>
      <c r="X37" s="4">
        <v>-1245.26</v>
      </c>
      <c r="Y37" s="11">
        <f t="shared" si="0"/>
        <v>1245.26</v>
      </c>
    </row>
    <row r="38" spans="1:25" x14ac:dyDescent="0.25">
      <c r="A38" t="s">
        <v>0</v>
      </c>
      <c r="B38" t="s">
        <v>1</v>
      </c>
      <c r="C38" t="s">
        <v>2</v>
      </c>
      <c r="D38" t="s">
        <v>105</v>
      </c>
      <c r="E38" t="s">
        <v>4</v>
      </c>
      <c r="F38" t="s">
        <v>5</v>
      </c>
      <c r="G38" t="s">
        <v>6</v>
      </c>
      <c r="H38" t="s">
        <v>7</v>
      </c>
      <c r="I38" t="s">
        <v>7</v>
      </c>
      <c r="J38" t="s">
        <v>8</v>
      </c>
      <c r="K38" t="s">
        <v>106</v>
      </c>
      <c r="L38" t="s">
        <v>107</v>
      </c>
      <c r="M38" t="s">
        <v>58</v>
      </c>
      <c r="N38" t="s">
        <v>11</v>
      </c>
      <c r="O38" s="2">
        <v>-1</v>
      </c>
      <c r="P38" t="s">
        <v>108</v>
      </c>
      <c r="Q38" t="s">
        <v>13</v>
      </c>
      <c r="R38" t="s">
        <v>14</v>
      </c>
      <c r="S38" t="s">
        <v>15</v>
      </c>
      <c r="T38" s="3">
        <v>45462</v>
      </c>
      <c r="U38" s="3">
        <v>45462</v>
      </c>
      <c r="V38" s="3">
        <v>45462</v>
      </c>
      <c r="W38" s="2">
        <v>-1</v>
      </c>
      <c r="X38" s="4">
        <v>-1245.26</v>
      </c>
      <c r="Y38" s="11">
        <f t="shared" si="0"/>
        <v>1245.26</v>
      </c>
    </row>
    <row r="39" spans="1:25" x14ac:dyDescent="0.25">
      <c r="A39" t="s">
        <v>0</v>
      </c>
      <c r="B39" t="s">
        <v>1</v>
      </c>
      <c r="C39" t="s">
        <v>2</v>
      </c>
      <c r="D39" t="s">
        <v>109</v>
      </c>
      <c r="E39" t="s">
        <v>4</v>
      </c>
      <c r="F39" t="s">
        <v>5</v>
      </c>
      <c r="G39" t="s">
        <v>110</v>
      </c>
      <c r="H39" t="s">
        <v>7</v>
      </c>
      <c r="I39" t="s">
        <v>7</v>
      </c>
      <c r="J39" t="s">
        <v>8</v>
      </c>
      <c r="K39" t="s">
        <v>111</v>
      </c>
      <c r="L39" t="s">
        <v>112</v>
      </c>
      <c r="M39" t="s">
        <v>73</v>
      </c>
      <c r="N39" t="s">
        <v>11</v>
      </c>
      <c r="O39" s="2">
        <v>-1</v>
      </c>
      <c r="P39" t="s">
        <v>108</v>
      </c>
      <c r="Q39" t="s">
        <v>13</v>
      </c>
      <c r="R39" t="s">
        <v>14</v>
      </c>
      <c r="S39" t="s">
        <v>15</v>
      </c>
      <c r="T39" s="3">
        <v>45462</v>
      </c>
      <c r="U39" s="3">
        <v>45462</v>
      </c>
      <c r="V39" s="3">
        <v>45462</v>
      </c>
      <c r="W39" s="2">
        <v>-1</v>
      </c>
      <c r="X39" s="4">
        <v>-1245.26</v>
      </c>
      <c r="Y39" s="11">
        <f t="shared" si="0"/>
        <v>1245.26</v>
      </c>
    </row>
    <row r="40" spans="1:25" x14ac:dyDescent="0.25">
      <c r="A40" t="s">
        <v>0</v>
      </c>
      <c r="B40" t="s">
        <v>1</v>
      </c>
      <c r="C40" t="s">
        <v>2</v>
      </c>
      <c r="D40" t="s">
        <v>113</v>
      </c>
      <c r="E40" t="s">
        <v>4</v>
      </c>
      <c r="F40" t="s">
        <v>5</v>
      </c>
      <c r="G40" t="s">
        <v>6</v>
      </c>
      <c r="H40" t="s">
        <v>7</v>
      </c>
      <c r="I40" t="s">
        <v>7</v>
      </c>
      <c r="J40" t="s">
        <v>8</v>
      </c>
      <c r="K40" t="s">
        <v>114</v>
      </c>
      <c r="L40" t="s">
        <v>115</v>
      </c>
      <c r="M40" t="s">
        <v>58</v>
      </c>
      <c r="N40" t="s">
        <v>11</v>
      </c>
      <c r="O40" s="2">
        <v>-1</v>
      </c>
      <c r="P40" t="s">
        <v>12</v>
      </c>
      <c r="Q40" t="s">
        <v>13</v>
      </c>
      <c r="R40" t="s">
        <v>14</v>
      </c>
      <c r="S40" t="s">
        <v>15</v>
      </c>
      <c r="T40" s="3">
        <v>45462</v>
      </c>
      <c r="U40" s="3">
        <v>45462</v>
      </c>
      <c r="V40" s="3">
        <v>45462</v>
      </c>
      <c r="W40" s="2">
        <v>-1</v>
      </c>
      <c r="X40" s="4">
        <v>-1245.26</v>
      </c>
      <c r="Y40" s="11">
        <f t="shared" si="0"/>
        <v>1245.26</v>
      </c>
    </row>
    <row r="41" spans="1:25" x14ac:dyDescent="0.25">
      <c r="A41" t="s">
        <v>0</v>
      </c>
      <c r="B41" t="s">
        <v>1</v>
      </c>
      <c r="C41" t="s">
        <v>2</v>
      </c>
      <c r="D41" t="s">
        <v>116</v>
      </c>
      <c r="E41" t="s">
        <v>4</v>
      </c>
      <c r="F41" t="s">
        <v>5</v>
      </c>
      <c r="G41" t="s">
        <v>6</v>
      </c>
      <c r="H41" t="s">
        <v>7</v>
      </c>
      <c r="I41" t="s">
        <v>7</v>
      </c>
      <c r="J41" t="s">
        <v>8</v>
      </c>
      <c r="K41" t="s">
        <v>117</v>
      </c>
      <c r="L41" t="s">
        <v>118</v>
      </c>
      <c r="M41" t="s">
        <v>58</v>
      </c>
      <c r="N41" t="s">
        <v>11</v>
      </c>
      <c r="O41" s="2">
        <v>-1</v>
      </c>
      <c r="P41" t="s">
        <v>12</v>
      </c>
      <c r="Q41" t="s">
        <v>13</v>
      </c>
      <c r="R41" t="s">
        <v>14</v>
      </c>
      <c r="S41" t="s">
        <v>15</v>
      </c>
      <c r="T41" s="3">
        <v>45462</v>
      </c>
      <c r="U41" s="3">
        <v>45462</v>
      </c>
      <c r="V41" s="3">
        <v>45462</v>
      </c>
      <c r="W41" s="2">
        <v>-1</v>
      </c>
      <c r="X41" s="4">
        <v>-1245.26</v>
      </c>
      <c r="Y41" s="11">
        <f t="shared" si="0"/>
        <v>1245.26</v>
      </c>
    </row>
    <row r="42" spans="1:25" x14ac:dyDescent="0.25">
      <c r="A42" t="s">
        <v>0</v>
      </c>
      <c r="B42" t="s">
        <v>1</v>
      </c>
      <c r="C42" t="s">
        <v>2</v>
      </c>
      <c r="D42" t="s">
        <v>119</v>
      </c>
      <c r="E42" t="s">
        <v>4</v>
      </c>
      <c r="F42" t="s">
        <v>5</v>
      </c>
      <c r="G42" t="s">
        <v>6</v>
      </c>
      <c r="H42" t="s">
        <v>7</v>
      </c>
      <c r="I42" t="s">
        <v>7</v>
      </c>
      <c r="J42" t="s">
        <v>8</v>
      </c>
      <c r="K42" t="s">
        <v>53</v>
      </c>
      <c r="L42" t="s">
        <v>120</v>
      </c>
      <c r="M42" t="s">
        <v>73</v>
      </c>
      <c r="N42" t="s">
        <v>11</v>
      </c>
      <c r="O42" s="2">
        <v>-1</v>
      </c>
      <c r="P42" t="s">
        <v>12</v>
      </c>
      <c r="Q42" t="s">
        <v>13</v>
      </c>
      <c r="R42" t="s">
        <v>14</v>
      </c>
      <c r="S42" t="s">
        <v>15</v>
      </c>
      <c r="T42" s="3">
        <v>45470</v>
      </c>
      <c r="U42" s="3">
        <v>45470</v>
      </c>
      <c r="V42" s="3">
        <v>45470</v>
      </c>
      <c r="W42" s="2">
        <v>-1</v>
      </c>
      <c r="X42" s="4">
        <v>-1245.26</v>
      </c>
      <c r="Y42" s="11">
        <f t="shared" si="0"/>
        <v>1245.26</v>
      </c>
    </row>
    <row r="43" spans="1:25" x14ac:dyDescent="0.25">
      <c r="A43" t="s">
        <v>0</v>
      </c>
      <c r="B43" t="s">
        <v>1</v>
      </c>
      <c r="C43" t="s">
        <v>2</v>
      </c>
      <c r="D43" t="s">
        <v>121</v>
      </c>
      <c r="E43" t="s">
        <v>4</v>
      </c>
      <c r="F43" t="s">
        <v>5</v>
      </c>
      <c r="G43" t="s">
        <v>6</v>
      </c>
      <c r="H43" t="s">
        <v>7</v>
      </c>
      <c r="I43" t="s">
        <v>7</v>
      </c>
      <c r="J43" t="s">
        <v>8</v>
      </c>
      <c r="K43" t="s">
        <v>95</v>
      </c>
      <c r="L43" t="s">
        <v>96</v>
      </c>
      <c r="M43" t="s">
        <v>58</v>
      </c>
      <c r="N43" t="s">
        <v>11</v>
      </c>
      <c r="O43" s="2">
        <v>-1</v>
      </c>
      <c r="P43" t="s">
        <v>97</v>
      </c>
      <c r="Q43" t="s">
        <v>13</v>
      </c>
      <c r="R43" t="s">
        <v>14</v>
      </c>
      <c r="S43" t="s">
        <v>15</v>
      </c>
      <c r="T43" s="3">
        <v>45470</v>
      </c>
      <c r="U43" s="3">
        <v>45470</v>
      </c>
      <c r="V43" s="3">
        <v>45470</v>
      </c>
      <c r="W43" s="2">
        <v>-1</v>
      </c>
      <c r="X43" s="4">
        <v>-1245.26</v>
      </c>
      <c r="Y43" s="11">
        <f t="shared" si="0"/>
        <v>1245.26</v>
      </c>
    </row>
    <row r="44" spans="1:25" x14ac:dyDescent="0.25">
      <c r="A44" t="s">
        <v>0</v>
      </c>
      <c r="B44" t="s">
        <v>1</v>
      </c>
      <c r="C44" t="s">
        <v>2</v>
      </c>
      <c r="D44" t="s">
        <v>122</v>
      </c>
      <c r="E44" t="s">
        <v>4</v>
      </c>
      <c r="F44" t="s">
        <v>5</v>
      </c>
      <c r="G44" t="s">
        <v>6</v>
      </c>
      <c r="H44" t="s">
        <v>7</v>
      </c>
      <c r="I44" t="s">
        <v>7</v>
      </c>
      <c r="J44" t="s">
        <v>8</v>
      </c>
      <c r="K44" t="s">
        <v>123</v>
      </c>
      <c r="L44" t="s">
        <v>124</v>
      </c>
      <c r="M44" t="s">
        <v>58</v>
      </c>
      <c r="N44" t="s">
        <v>11</v>
      </c>
      <c r="O44" s="2">
        <v>-1</v>
      </c>
      <c r="P44" t="s">
        <v>59</v>
      </c>
      <c r="Q44" t="s">
        <v>13</v>
      </c>
      <c r="R44" t="s">
        <v>14</v>
      </c>
      <c r="S44" t="s">
        <v>15</v>
      </c>
      <c r="T44" s="3">
        <v>45478</v>
      </c>
      <c r="U44" s="3">
        <v>45478</v>
      </c>
      <c r="V44" s="3">
        <v>45478</v>
      </c>
      <c r="W44" s="2">
        <v>-1</v>
      </c>
      <c r="X44" s="4">
        <v>-1245.26</v>
      </c>
      <c r="Y44" s="11">
        <f t="shared" si="0"/>
        <v>1245.26</v>
      </c>
    </row>
    <row r="45" spans="1:25" x14ac:dyDescent="0.25">
      <c r="A45" t="s">
        <v>0</v>
      </c>
      <c r="B45" t="s">
        <v>1</v>
      </c>
      <c r="C45" t="s">
        <v>2</v>
      </c>
      <c r="D45" t="s">
        <v>125</v>
      </c>
      <c r="E45" t="s">
        <v>4</v>
      </c>
      <c r="F45" t="s">
        <v>5</v>
      </c>
      <c r="G45" t="s">
        <v>6</v>
      </c>
      <c r="H45" t="s">
        <v>7</v>
      </c>
      <c r="I45" t="s">
        <v>7</v>
      </c>
      <c r="J45" t="s">
        <v>8</v>
      </c>
      <c r="K45" t="s">
        <v>53</v>
      </c>
      <c r="L45" t="s">
        <v>126</v>
      </c>
      <c r="M45" t="s">
        <v>73</v>
      </c>
      <c r="N45" t="s">
        <v>11</v>
      </c>
      <c r="O45" s="2">
        <v>-1</v>
      </c>
      <c r="P45" t="s">
        <v>12</v>
      </c>
      <c r="Q45" t="s">
        <v>13</v>
      </c>
      <c r="R45" t="s">
        <v>14</v>
      </c>
      <c r="S45" t="s">
        <v>15</v>
      </c>
      <c r="T45" s="3">
        <v>45512</v>
      </c>
      <c r="U45" s="3">
        <v>45512</v>
      </c>
      <c r="V45" s="3">
        <v>45512</v>
      </c>
      <c r="W45" s="2">
        <v>-1</v>
      </c>
      <c r="X45" s="4">
        <v>-1245.26</v>
      </c>
      <c r="Y45" s="11">
        <f t="shared" si="0"/>
        <v>1245.26</v>
      </c>
    </row>
    <row r="46" spans="1:25" x14ac:dyDescent="0.25">
      <c r="A46" t="s">
        <v>0</v>
      </c>
      <c r="B46" t="s">
        <v>1</v>
      </c>
      <c r="C46" t="s">
        <v>2</v>
      </c>
      <c r="D46" t="s">
        <v>127</v>
      </c>
      <c r="E46" t="s">
        <v>4</v>
      </c>
      <c r="F46" t="s">
        <v>5</v>
      </c>
      <c r="G46" t="s">
        <v>6</v>
      </c>
      <c r="H46" t="s">
        <v>7</v>
      </c>
      <c r="I46" t="s">
        <v>7</v>
      </c>
      <c r="J46" t="s">
        <v>8</v>
      </c>
      <c r="K46" t="s">
        <v>17</v>
      </c>
      <c r="L46" t="s">
        <v>128</v>
      </c>
      <c r="M46" t="s">
        <v>58</v>
      </c>
      <c r="N46" t="s">
        <v>11</v>
      </c>
      <c r="O46" s="2">
        <v>-1</v>
      </c>
      <c r="P46" t="s">
        <v>59</v>
      </c>
      <c r="Q46" t="s">
        <v>13</v>
      </c>
      <c r="R46" t="s">
        <v>14</v>
      </c>
      <c r="S46" t="s">
        <v>15</v>
      </c>
      <c r="T46" s="3">
        <v>45516</v>
      </c>
      <c r="U46" s="3">
        <v>45516</v>
      </c>
      <c r="V46" s="3">
        <v>45516</v>
      </c>
      <c r="W46" s="2">
        <v>-1</v>
      </c>
      <c r="X46" s="4">
        <v>-1245.26</v>
      </c>
      <c r="Y46" s="11">
        <f t="shared" si="0"/>
        <v>1245.26</v>
      </c>
    </row>
    <row r="47" spans="1:25" x14ac:dyDescent="0.25">
      <c r="A47" t="s">
        <v>0</v>
      </c>
      <c r="B47" t="s">
        <v>1</v>
      </c>
      <c r="C47" t="s">
        <v>2</v>
      </c>
      <c r="D47" t="s">
        <v>129</v>
      </c>
      <c r="E47" t="s">
        <v>4</v>
      </c>
      <c r="F47" t="s">
        <v>5</v>
      </c>
      <c r="G47" t="s">
        <v>6</v>
      </c>
      <c r="H47" t="s">
        <v>7</v>
      </c>
      <c r="I47" t="s">
        <v>7</v>
      </c>
      <c r="J47" t="s">
        <v>8</v>
      </c>
      <c r="K47" t="s">
        <v>114</v>
      </c>
      <c r="L47" t="s">
        <v>130</v>
      </c>
      <c r="M47" t="s">
        <v>58</v>
      </c>
      <c r="N47" t="s">
        <v>11</v>
      </c>
      <c r="O47" s="2">
        <v>-1</v>
      </c>
      <c r="P47" t="s">
        <v>12</v>
      </c>
      <c r="Q47" t="s">
        <v>13</v>
      </c>
      <c r="R47" t="s">
        <v>14</v>
      </c>
      <c r="S47" t="s">
        <v>15</v>
      </c>
      <c r="T47" s="3">
        <v>45523</v>
      </c>
      <c r="U47" s="3">
        <v>45523</v>
      </c>
      <c r="V47" s="3">
        <v>45523</v>
      </c>
      <c r="W47" s="2">
        <v>-1</v>
      </c>
      <c r="X47" s="4">
        <v>-1245.26</v>
      </c>
      <c r="Y47" s="11">
        <f t="shared" si="0"/>
        <v>1245.26</v>
      </c>
    </row>
    <row r="48" spans="1:25" x14ac:dyDescent="0.25">
      <c r="A48" t="s">
        <v>0</v>
      </c>
      <c r="B48" t="s">
        <v>1</v>
      </c>
      <c r="C48" t="s">
        <v>2</v>
      </c>
      <c r="D48" t="s">
        <v>131</v>
      </c>
      <c r="E48" t="s">
        <v>4</v>
      </c>
      <c r="F48" t="s">
        <v>5</v>
      </c>
      <c r="G48" t="s">
        <v>6</v>
      </c>
      <c r="H48" t="s">
        <v>7</v>
      </c>
      <c r="I48" t="s">
        <v>7</v>
      </c>
      <c r="J48" t="s">
        <v>8</v>
      </c>
      <c r="K48" t="s">
        <v>23</v>
      </c>
      <c r="L48" t="s">
        <v>132</v>
      </c>
      <c r="M48" t="s">
        <v>58</v>
      </c>
      <c r="N48" t="s">
        <v>11</v>
      </c>
      <c r="O48" s="2">
        <v>-1</v>
      </c>
      <c r="P48" t="s">
        <v>12</v>
      </c>
      <c r="Q48" t="s">
        <v>13</v>
      </c>
      <c r="R48" t="s">
        <v>14</v>
      </c>
      <c r="S48" t="s">
        <v>15</v>
      </c>
      <c r="T48" s="3">
        <v>45532</v>
      </c>
      <c r="U48" s="3">
        <v>45532</v>
      </c>
      <c r="V48" s="3">
        <v>45532</v>
      </c>
      <c r="W48" s="2">
        <v>-1</v>
      </c>
      <c r="X48" s="4">
        <v>-1245.26</v>
      </c>
      <c r="Y48" s="11">
        <f t="shared" si="0"/>
        <v>1245.26</v>
      </c>
    </row>
    <row r="49" spans="1:25" x14ac:dyDescent="0.25">
      <c r="A49" t="s">
        <v>0</v>
      </c>
      <c r="B49" t="s">
        <v>1</v>
      </c>
      <c r="C49" t="s">
        <v>2</v>
      </c>
      <c r="D49" t="s">
        <v>133</v>
      </c>
      <c r="E49" t="s">
        <v>4</v>
      </c>
      <c r="F49" t="s">
        <v>5</v>
      </c>
      <c r="G49" t="s">
        <v>6</v>
      </c>
      <c r="H49" t="s">
        <v>7</v>
      </c>
      <c r="I49" t="s">
        <v>7</v>
      </c>
      <c r="J49" t="s">
        <v>8</v>
      </c>
      <c r="K49" t="s">
        <v>134</v>
      </c>
      <c r="L49" t="s">
        <v>18</v>
      </c>
      <c r="M49" t="s">
        <v>58</v>
      </c>
      <c r="N49" t="s">
        <v>11</v>
      </c>
      <c r="O49" s="2">
        <v>-1</v>
      </c>
      <c r="P49" t="s">
        <v>12</v>
      </c>
      <c r="Q49" t="s">
        <v>13</v>
      </c>
      <c r="R49" t="s">
        <v>14</v>
      </c>
      <c r="S49" t="s">
        <v>15</v>
      </c>
      <c r="T49" s="3">
        <v>45533</v>
      </c>
      <c r="U49" s="3">
        <v>45533</v>
      </c>
      <c r="V49" s="3">
        <v>45533</v>
      </c>
      <c r="W49" s="2">
        <v>-1</v>
      </c>
      <c r="X49" s="4">
        <v>-1245.26</v>
      </c>
      <c r="Y49" s="11">
        <f t="shared" si="0"/>
        <v>1245.26</v>
      </c>
    </row>
    <row r="50" spans="1:25" x14ac:dyDescent="0.25">
      <c r="A50" t="s">
        <v>0</v>
      </c>
      <c r="B50" t="s">
        <v>1</v>
      </c>
      <c r="C50" t="s">
        <v>2</v>
      </c>
      <c r="D50" t="s">
        <v>135</v>
      </c>
      <c r="E50" t="s">
        <v>4</v>
      </c>
      <c r="F50" t="s">
        <v>5</v>
      </c>
      <c r="G50" t="s">
        <v>6</v>
      </c>
      <c r="H50" t="s">
        <v>7</v>
      </c>
      <c r="I50" t="s">
        <v>7</v>
      </c>
      <c r="J50" t="s">
        <v>8</v>
      </c>
      <c r="K50" t="s">
        <v>77</v>
      </c>
      <c r="L50" t="s">
        <v>136</v>
      </c>
      <c r="M50" t="s">
        <v>73</v>
      </c>
      <c r="N50" t="s">
        <v>11</v>
      </c>
      <c r="O50" s="2">
        <v>-1</v>
      </c>
      <c r="P50" t="s">
        <v>12</v>
      </c>
      <c r="Q50" t="s">
        <v>13</v>
      </c>
      <c r="R50" t="s">
        <v>14</v>
      </c>
      <c r="S50" t="s">
        <v>15</v>
      </c>
      <c r="T50" s="3">
        <v>45539</v>
      </c>
      <c r="U50" s="3">
        <v>45539</v>
      </c>
      <c r="V50" s="3">
        <v>45539</v>
      </c>
      <c r="W50" s="2">
        <v>-1</v>
      </c>
      <c r="X50" s="4">
        <v>-1245.26</v>
      </c>
      <c r="Y50" s="11">
        <f t="shared" si="0"/>
        <v>1245.26</v>
      </c>
    </row>
    <row r="51" spans="1:25" x14ac:dyDescent="0.25">
      <c r="A51" t="s">
        <v>0</v>
      </c>
      <c r="B51" t="s">
        <v>1</v>
      </c>
      <c r="C51" t="s">
        <v>2</v>
      </c>
      <c r="D51" t="s">
        <v>137</v>
      </c>
      <c r="E51" t="s">
        <v>4</v>
      </c>
      <c r="F51" t="s">
        <v>5</v>
      </c>
      <c r="G51" t="s">
        <v>6</v>
      </c>
      <c r="H51" t="s">
        <v>7</v>
      </c>
      <c r="I51" t="s">
        <v>7</v>
      </c>
      <c r="J51" t="s">
        <v>8</v>
      </c>
      <c r="K51" t="s">
        <v>17</v>
      </c>
      <c r="L51" t="s">
        <v>138</v>
      </c>
      <c r="M51" t="s">
        <v>58</v>
      </c>
      <c r="N51" t="s">
        <v>11</v>
      </c>
      <c r="O51" s="2">
        <v>-1</v>
      </c>
      <c r="P51" t="s">
        <v>139</v>
      </c>
      <c r="Q51" t="s">
        <v>13</v>
      </c>
      <c r="R51" t="s">
        <v>14</v>
      </c>
      <c r="S51" t="s">
        <v>15</v>
      </c>
      <c r="T51" s="3">
        <v>45540</v>
      </c>
      <c r="U51" s="3">
        <v>45540</v>
      </c>
      <c r="V51" s="3">
        <v>45540</v>
      </c>
      <c r="W51" s="2">
        <v>-1</v>
      </c>
      <c r="X51" s="4">
        <v>-1245.26</v>
      </c>
      <c r="Y51" s="11">
        <f t="shared" si="0"/>
        <v>1245.26</v>
      </c>
    </row>
    <row r="52" spans="1:25" x14ac:dyDescent="0.25">
      <c r="A52" t="s">
        <v>0</v>
      </c>
      <c r="B52" t="s">
        <v>1</v>
      </c>
      <c r="C52" t="s">
        <v>2</v>
      </c>
      <c r="D52" t="s">
        <v>140</v>
      </c>
      <c r="E52" t="s">
        <v>4</v>
      </c>
      <c r="F52" t="s">
        <v>5</v>
      </c>
      <c r="G52" t="s">
        <v>6</v>
      </c>
      <c r="H52" t="s">
        <v>7</v>
      </c>
      <c r="I52" t="s">
        <v>7</v>
      </c>
      <c r="J52" t="s">
        <v>8</v>
      </c>
      <c r="K52" t="s">
        <v>141</v>
      </c>
      <c r="L52" t="s">
        <v>142</v>
      </c>
      <c r="M52" t="s">
        <v>73</v>
      </c>
      <c r="N52" t="s">
        <v>11</v>
      </c>
      <c r="O52" s="2">
        <v>-1</v>
      </c>
      <c r="P52" t="s">
        <v>12</v>
      </c>
      <c r="Q52" t="s">
        <v>13</v>
      </c>
      <c r="R52" t="s">
        <v>14</v>
      </c>
      <c r="S52" t="s">
        <v>15</v>
      </c>
      <c r="T52" s="3">
        <v>45548</v>
      </c>
      <c r="U52" s="3">
        <v>45548</v>
      </c>
      <c r="V52" s="3">
        <v>45548</v>
      </c>
      <c r="W52" s="2">
        <v>-1</v>
      </c>
      <c r="X52" s="4">
        <v>-1245.26</v>
      </c>
      <c r="Y52" s="11">
        <f t="shared" si="0"/>
        <v>1245.26</v>
      </c>
    </row>
    <row r="53" spans="1:25" x14ac:dyDescent="0.25">
      <c r="A53" t="s">
        <v>0</v>
      </c>
      <c r="B53" t="s">
        <v>1</v>
      </c>
      <c r="C53" t="s">
        <v>2</v>
      </c>
      <c r="D53" t="s">
        <v>143</v>
      </c>
      <c r="E53" t="s">
        <v>4</v>
      </c>
      <c r="F53" t="s">
        <v>5</v>
      </c>
      <c r="G53" t="s">
        <v>6</v>
      </c>
      <c r="H53" t="s">
        <v>7</v>
      </c>
      <c r="I53" t="s">
        <v>7</v>
      </c>
      <c r="J53" t="s">
        <v>8</v>
      </c>
      <c r="K53" t="s">
        <v>144</v>
      </c>
      <c r="L53" t="s">
        <v>7</v>
      </c>
      <c r="M53" t="s">
        <v>73</v>
      </c>
      <c r="N53" t="s">
        <v>11</v>
      </c>
      <c r="O53" s="2">
        <v>-1</v>
      </c>
      <c r="P53" t="s">
        <v>12</v>
      </c>
      <c r="Q53" t="s">
        <v>13</v>
      </c>
      <c r="R53" t="s">
        <v>14</v>
      </c>
      <c r="S53" t="s">
        <v>15</v>
      </c>
      <c r="T53" s="3">
        <v>45552</v>
      </c>
      <c r="U53" s="3">
        <v>45552</v>
      </c>
      <c r="V53" s="3">
        <v>45552</v>
      </c>
      <c r="W53" s="2">
        <v>-1</v>
      </c>
      <c r="X53" s="4">
        <v>-1245.26</v>
      </c>
      <c r="Y53" s="11">
        <f t="shared" si="0"/>
        <v>1245.26</v>
      </c>
    </row>
    <row r="54" spans="1:25" x14ac:dyDescent="0.25">
      <c r="A54" t="s">
        <v>0</v>
      </c>
      <c r="B54" t="s">
        <v>1</v>
      </c>
      <c r="C54" t="s">
        <v>2</v>
      </c>
      <c r="D54" t="s">
        <v>145</v>
      </c>
      <c r="E54" t="s">
        <v>4</v>
      </c>
      <c r="F54" t="s">
        <v>5</v>
      </c>
      <c r="G54" t="s">
        <v>6</v>
      </c>
      <c r="H54" t="s">
        <v>7</v>
      </c>
      <c r="I54" t="s">
        <v>7</v>
      </c>
      <c r="J54" t="s">
        <v>8</v>
      </c>
      <c r="K54" t="s">
        <v>53</v>
      </c>
      <c r="L54" t="s">
        <v>7</v>
      </c>
      <c r="M54" t="s">
        <v>73</v>
      </c>
      <c r="N54" t="s">
        <v>11</v>
      </c>
      <c r="O54" s="2">
        <v>-1</v>
      </c>
      <c r="P54" t="s">
        <v>12</v>
      </c>
      <c r="Q54" t="s">
        <v>13</v>
      </c>
      <c r="R54" t="s">
        <v>14</v>
      </c>
      <c r="S54" t="s">
        <v>15</v>
      </c>
      <c r="T54" s="3">
        <v>45552</v>
      </c>
      <c r="U54" s="3">
        <v>45552</v>
      </c>
      <c r="V54" s="3">
        <v>45552</v>
      </c>
      <c r="W54" s="2">
        <v>-1</v>
      </c>
      <c r="X54" s="4">
        <v>-1245.26</v>
      </c>
      <c r="Y54" s="11">
        <f t="shared" si="0"/>
        <v>1245.26</v>
      </c>
    </row>
    <row r="55" spans="1:25" x14ac:dyDescent="0.25">
      <c r="A55" t="s">
        <v>0</v>
      </c>
      <c r="B55" t="s">
        <v>1</v>
      </c>
      <c r="C55" t="s">
        <v>2</v>
      </c>
      <c r="D55" t="s">
        <v>146</v>
      </c>
      <c r="E55" t="s">
        <v>4</v>
      </c>
      <c r="F55" t="s">
        <v>5</v>
      </c>
      <c r="G55" t="s">
        <v>6</v>
      </c>
      <c r="H55" t="s">
        <v>7</v>
      </c>
      <c r="I55" t="s">
        <v>7</v>
      </c>
      <c r="J55" t="s">
        <v>8</v>
      </c>
      <c r="K55" t="s">
        <v>144</v>
      </c>
      <c r="L55" t="s">
        <v>147</v>
      </c>
      <c r="M55" t="s">
        <v>58</v>
      </c>
      <c r="N55" t="s">
        <v>11</v>
      </c>
      <c r="O55" s="2">
        <v>-1</v>
      </c>
      <c r="P55" t="s">
        <v>12</v>
      </c>
      <c r="Q55" t="s">
        <v>13</v>
      </c>
      <c r="R55" t="s">
        <v>14</v>
      </c>
      <c r="S55" t="s">
        <v>15</v>
      </c>
      <c r="T55" s="3">
        <v>45553</v>
      </c>
      <c r="U55" s="3">
        <v>45553</v>
      </c>
      <c r="V55" s="3">
        <v>45553</v>
      </c>
      <c r="W55" s="2">
        <v>-1</v>
      </c>
      <c r="X55" s="4">
        <v>-1245.26</v>
      </c>
      <c r="Y55" s="11">
        <f t="shared" si="0"/>
        <v>1245.26</v>
      </c>
    </row>
    <row r="56" spans="1:25" x14ac:dyDescent="0.25">
      <c r="A56" t="s">
        <v>0</v>
      </c>
      <c r="B56" t="s">
        <v>1</v>
      </c>
      <c r="C56" t="s">
        <v>2</v>
      </c>
      <c r="D56" t="s">
        <v>148</v>
      </c>
      <c r="E56" t="s">
        <v>4</v>
      </c>
      <c r="F56" t="s">
        <v>5</v>
      </c>
      <c r="G56" t="s">
        <v>6</v>
      </c>
      <c r="H56" t="s">
        <v>7</v>
      </c>
      <c r="I56" t="s">
        <v>7</v>
      </c>
      <c r="J56" t="s">
        <v>8</v>
      </c>
      <c r="K56" t="s">
        <v>149</v>
      </c>
      <c r="L56" t="s">
        <v>150</v>
      </c>
      <c r="M56" t="s">
        <v>58</v>
      </c>
      <c r="N56" t="s">
        <v>11</v>
      </c>
      <c r="O56" s="2">
        <v>-1</v>
      </c>
      <c r="P56" t="s">
        <v>12</v>
      </c>
      <c r="Q56" t="s">
        <v>13</v>
      </c>
      <c r="R56" t="s">
        <v>14</v>
      </c>
      <c r="S56" t="s">
        <v>15</v>
      </c>
      <c r="T56" s="3">
        <v>45554</v>
      </c>
      <c r="U56" s="3">
        <v>45554</v>
      </c>
      <c r="V56" s="3">
        <v>45554</v>
      </c>
      <c r="W56" s="2">
        <v>-1</v>
      </c>
      <c r="X56" s="4">
        <v>-1214.69</v>
      </c>
      <c r="Y56" s="11">
        <f t="shared" si="0"/>
        <v>1214.69</v>
      </c>
    </row>
    <row r="57" spans="1:25" x14ac:dyDescent="0.25">
      <c r="A57" t="s">
        <v>0</v>
      </c>
      <c r="B57" t="s">
        <v>1</v>
      </c>
      <c r="C57" t="s">
        <v>2</v>
      </c>
      <c r="D57" t="s">
        <v>151</v>
      </c>
      <c r="E57" t="s">
        <v>4</v>
      </c>
      <c r="F57" t="s">
        <v>5</v>
      </c>
      <c r="G57" t="s">
        <v>6</v>
      </c>
      <c r="H57" t="s">
        <v>7</v>
      </c>
      <c r="I57" t="s">
        <v>7</v>
      </c>
      <c r="J57" t="s">
        <v>8</v>
      </c>
      <c r="K57" t="s">
        <v>152</v>
      </c>
      <c r="L57" t="s">
        <v>153</v>
      </c>
      <c r="M57" t="s">
        <v>73</v>
      </c>
      <c r="N57" t="s">
        <v>11</v>
      </c>
      <c r="O57" s="2">
        <v>-1</v>
      </c>
      <c r="P57" t="s">
        <v>12</v>
      </c>
      <c r="Q57" t="s">
        <v>13</v>
      </c>
      <c r="R57" t="s">
        <v>14</v>
      </c>
      <c r="S57" t="s">
        <v>15</v>
      </c>
      <c r="T57" s="3">
        <v>45560</v>
      </c>
      <c r="U57" s="3">
        <v>45560</v>
      </c>
      <c r="V57" s="3">
        <v>45560</v>
      </c>
      <c r="W57" s="2">
        <v>-1</v>
      </c>
      <c r="X57" s="4">
        <v>-1194.8399999999999</v>
      </c>
      <c r="Y57" s="11">
        <f t="shared" si="0"/>
        <v>1194.8399999999999</v>
      </c>
    </row>
    <row r="58" spans="1:25" x14ac:dyDescent="0.25">
      <c r="A58" t="s">
        <v>0</v>
      </c>
      <c r="B58" t="s">
        <v>1</v>
      </c>
      <c r="C58" t="s">
        <v>2</v>
      </c>
      <c r="D58" t="s">
        <v>154</v>
      </c>
      <c r="E58" t="s">
        <v>4</v>
      </c>
      <c r="F58" t="s">
        <v>5</v>
      </c>
      <c r="G58" t="s">
        <v>6</v>
      </c>
      <c r="H58" t="s">
        <v>7</v>
      </c>
      <c r="I58" t="s">
        <v>7</v>
      </c>
      <c r="J58" t="s">
        <v>8</v>
      </c>
      <c r="K58" t="s">
        <v>41</v>
      </c>
      <c r="L58" t="s">
        <v>155</v>
      </c>
      <c r="M58" t="s">
        <v>58</v>
      </c>
      <c r="N58" t="s">
        <v>11</v>
      </c>
      <c r="O58" s="2">
        <v>-1</v>
      </c>
      <c r="P58" t="s">
        <v>59</v>
      </c>
      <c r="Q58" t="s">
        <v>13</v>
      </c>
      <c r="R58" t="s">
        <v>14</v>
      </c>
      <c r="S58" t="s">
        <v>15</v>
      </c>
      <c r="T58" s="3">
        <v>45561</v>
      </c>
      <c r="U58" s="3">
        <v>45561</v>
      </c>
      <c r="V58" s="3">
        <v>45561</v>
      </c>
      <c r="W58" s="2">
        <v>-1</v>
      </c>
      <c r="X58" s="4">
        <v>-1193.82</v>
      </c>
      <c r="Y58" s="11">
        <f t="shared" si="0"/>
        <v>1193.82</v>
      </c>
    </row>
    <row r="59" spans="1:25" x14ac:dyDescent="0.25">
      <c r="A59" t="s">
        <v>0</v>
      </c>
      <c r="B59" t="s">
        <v>1</v>
      </c>
      <c r="C59" t="s">
        <v>2</v>
      </c>
      <c r="D59" t="s">
        <v>156</v>
      </c>
      <c r="E59" t="s">
        <v>4</v>
      </c>
      <c r="F59" t="s">
        <v>5</v>
      </c>
      <c r="G59" t="s">
        <v>6</v>
      </c>
      <c r="H59" t="s">
        <v>7</v>
      </c>
      <c r="I59" t="s">
        <v>7</v>
      </c>
      <c r="J59" t="s">
        <v>8</v>
      </c>
      <c r="K59" t="s">
        <v>41</v>
      </c>
      <c r="L59" t="s">
        <v>138</v>
      </c>
      <c r="M59" t="s">
        <v>58</v>
      </c>
      <c r="N59" t="s">
        <v>11</v>
      </c>
      <c r="O59" s="2">
        <v>-1</v>
      </c>
      <c r="P59" t="s">
        <v>139</v>
      </c>
      <c r="Q59" t="s">
        <v>13</v>
      </c>
      <c r="R59" t="s">
        <v>14</v>
      </c>
      <c r="S59" t="s">
        <v>15</v>
      </c>
      <c r="T59" s="3">
        <v>45562</v>
      </c>
      <c r="U59" s="3">
        <v>45562</v>
      </c>
      <c r="V59" s="3">
        <v>45562</v>
      </c>
      <c r="W59" s="2">
        <v>-1</v>
      </c>
      <c r="X59" s="4">
        <v>-1193.69</v>
      </c>
      <c r="Y59" s="11">
        <f t="shared" si="0"/>
        <v>1193.69</v>
      </c>
    </row>
    <row r="60" spans="1:25" x14ac:dyDescent="0.25">
      <c r="A60" t="s">
        <v>0</v>
      </c>
      <c r="B60" t="s">
        <v>1</v>
      </c>
      <c r="C60" t="s">
        <v>2</v>
      </c>
      <c r="D60" t="s">
        <v>157</v>
      </c>
      <c r="E60" t="s">
        <v>4</v>
      </c>
      <c r="F60" t="s">
        <v>5</v>
      </c>
      <c r="G60" t="s">
        <v>6</v>
      </c>
      <c r="H60" t="s">
        <v>7</v>
      </c>
      <c r="I60" t="s">
        <v>7</v>
      </c>
      <c r="J60" t="s">
        <v>8</v>
      </c>
      <c r="K60" t="s">
        <v>123</v>
      </c>
      <c r="L60" t="s">
        <v>158</v>
      </c>
      <c r="M60" t="s">
        <v>58</v>
      </c>
      <c r="N60" t="s">
        <v>11</v>
      </c>
      <c r="O60" s="2">
        <v>-1</v>
      </c>
      <c r="P60" t="s">
        <v>12</v>
      </c>
      <c r="Q60" t="s">
        <v>13</v>
      </c>
      <c r="R60" t="s">
        <v>14</v>
      </c>
      <c r="S60" t="s">
        <v>15</v>
      </c>
      <c r="T60" s="3">
        <v>45566</v>
      </c>
      <c r="U60" s="3">
        <v>45566</v>
      </c>
      <c r="V60" s="3">
        <v>45566</v>
      </c>
      <c r="W60" s="2">
        <v>-1</v>
      </c>
      <c r="X60" s="4">
        <v>-1193.6400000000001</v>
      </c>
      <c r="Y60" s="11">
        <f t="shared" si="0"/>
        <v>1193.6400000000001</v>
      </c>
    </row>
    <row r="61" spans="1:25" x14ac:dyDescent="0.25">
      <c r="A61" t="s">
        <v>0</v>
      </c>
      <c r="B61" t="s">
        <v>1</v>
      </c>
      <c r="C61" t="s">
        <v>2</v>
      </c>
      <c r="D61" t="s">
        <v>159</v>
      </c>
      <c r="E61" t="s">
        <v>4</v>
      </c>
      <c r="F61" t="s">
        <v>5</v>
      </c>
      <c r="G61" t="s">
        <v>6</v>
      </c>
      <c r="H61" t="s">
        <v>7</v>
      </c>
      <c r="I61" t="s">
        <v>7</v>
      </c>
      <c r="J61" t="s">
        <v>8</v>
      </c>
      <c r="K61" t="s">
        <v>114</v>
      </c>
      <c r="L61" t="s">
        <v>160</v>
      </c>
      <c r="M61" t="s">
        <v>58</v>
      </c>
      <c r="N61" t="s">
        <v>11</v>
      </c>
      <c r="O61" s="2">
        <v>-1</v>
      </c>
      <c r="P61" t="s">
        <v>12</v>
      </c>
      <c r="Q61" t="s">
        <v>13</v>
      </c>
      <c r="R61" t="s">
        <v>14</v>
      </c>
      <c r="S61" t="s">
        <v>15</v>
      </c>
      <c r="T61" s="3">
        <v>45576</v>
      </c>
      <c r="U61" s="3">
        <v>45576</v>
      </c>
      <c r="V61" s="3">
        <v>45576</v>
      </c>
      <c r="W61" s="2">
        <v>-1</v>
      </c>
      <c r="X61" s="4">
        <v>-1193.6300000000001</v>
      </c>
      <c r="Y61" s="11">
        <f t="shared" si="0"/>
        <v>1193.6300000000001</v>
      </c>
    </row>
    <row r="62" spans="1:25" x14ac:dyDescent="0.25">
      <c r="A62" t="s">
        <v>0</v>
      </c>
      <c r="B62" t="s">
        <v>1</v>
      </c>
      <c r="C62" t="s">
        <v>2</v>
      </c>
      <c r="D62" t="s">
        <v>161</v>
      </c>
      <c r="E62" t="s">
        <v>4</v>
      </c>
      <c r="F62" t="s">
        <v>5</v>
      </c>
      <c r="G62" t="s">
        <v>6</v>
      </c>
      <c r="H62" t="s">
        <v>7</v>
      </c>
      <c r="I62" t="s">
        <v>7</v>
      </c>
      <c r="J62" t="s">
        <v>8</v>
      </c>
      <c r="K62" t="s">
        <v>162</v>
      </c>
      <c r="L62" t="s">
        <v>163</v>
      </c>
      <c r="M62" t="s">
        <v>58</v>
      </c>
      <c r="N62" t="s">
        <v>11</v>
      </c>
      <c r="O62" s="2">
        <v>-1</v>
      </c>
      <c r="P62" t="s">
        <v>12</v>
      </c>
      <c r="Q62" t="s">
        <v>13</v>
      </c>
      <c r="R62" t="s">
        <v>14</v>
      </c>
      <c r="S62" t="s">
        <v>15</v>
      </c>
      <c r="T62" s="3">
        <v>45588</v>
      </c>
      <c r="U62" s="3">
        <v>45588</v>
      </c>
      <c r="V62" s="3">
        <v>45588</v>
      </c>
      <c r="W62" s="2">
        <v>-1</v>
      </c>
      <c r="X62" s="4">
        <v>-1193.6300000000001</v>
      </c>
      <c r="Y62" s="11">
        <f t="shared" si="0"/>
        <v>1193.6300000000001</v>
      </c>
    </row>
    <row r="63" spans="1:25" x14ac:dyDescent="0.25">
      <c r="A63" t="s">
        <v>0</v>
      </c>
      <c r="B63" t="s">
        <v>1</v>
      </c>
      <c r="C63" t="s">
        <v>2</v>
      </c>
      <c r="D63" t="s">
        <v>164</v>
      </c>
      <c r="E63" t="s">
        <v>4</v>
      </c>
      <c r="F63" t="s">
        <v>5</v>
      </c>
      <c r="G63" t="s">
        <v>6</v>
      </c>
      <c r="H63" t="s">
        <v>7</v>
      </c>
      <c r="I63" t="s">
        <v>7</v>
      </c>
      <c r="J63" t="s">
        <v>8</v>
      </c>
      <c r="K63" t="s">
        <v>38</v>
      </c>
      <c r="L63" t="s">
        <v>165</v>
      </c>
      <c r="M63" t="s">
        <v>58</v>
      </c>
      <c r="N63" t="s">
        <v>11</v>
      </c>
      <c r="O63" s="2">
        <v>-1</v>
      </c>
      <c r="P63" t="s">
        <v>12</v>
      </c>
      <c r="Q63" t="s">
        <v>13</v>
      </c>
      <c r="R63" t="s">
        <v>14</v>
      </c>
      <c r="S63" t="s">
        <v>15</v>
      </c>
      <c r="T63" s="3">
        <v>45601</v>
      </c>
      <c r="U63" s="3">
        <v>45601</v>
      </c>
      <c r="V63" s="3">
        <v>45601</v>
      </c>
      <c r="W63" s="2">
        <v>-1</v>
      </c>
      <c r="X63" s="4">
        <v>-1122.27</v>
      </c>
      <c r="Y63" s="11">
        <f t="shared" si="0"/>
        <v>1122.27</v>
      </c>
    </row>
    <row r="64" spans="1:25" x14ac:dyDescent="0.25">
      <c r="A64" t="s">
        <v>0</v>
      </c>
      <c r="B64" t="s">
        <v>1</v>
      </c>
      <c r="C64" t="s">
        <v>2</v>
      </c>
      <c r="D64" t="s">
        <v>166</v>
      </c>
      <c r="E64" t="s">
        <v>4</v>
      </c>
      <c r="F64" t="s">
        <v>5</v>
      </c>
      <c r="G64" t="s">
        <v>6</v>
      </c>
      <c r="H64" t="s">
        <v>7</v>
      </c>
      <c r="I64" t="s">
        <v>7</v>
      </c>
      <c r="J64" t="s">
        <v>8</v>
      </c>
      <c r="K64" t="s">
        <v>23</v>
      </c>
      <c r="L64" t="s">
        <v>167</v>
      </c>
      <c r="M64" t="s">
        <v>58</v>
      </c>
      <c r="N64" t="s">
        <v>11</v>
      </c>
      <c r="O64" s="2">
        <v>-1</v>
      </c>
      <c r="P64" t="s">
        <v>12</v>
      </c>
      <c r="Q64" t="s">
        <v>13</v>
      </c>
      <c r="R64" t="s">
        <v>14</v>
      </c>
      <c r="S64" t="s">
        <v>15</v>
      </c>
      <c r="T64" s="3">
        <v>45602</v>
      </c>
      <c r="U64" s="3">
        <v>45602</v>
      </c>
      <c r="V64" s="3">
        <v>45602</v>
      </c>
      <c r="W64" s="2">
        <v>-1</v>
      </c>
      <c r="X64" s="4">
        <v>-1122.1300000000001</v>
      </c>
      <c r="Y64" s="11">
        <f t="shared" si="0"/>
        <v>1122.1300000000001</v>
      </c>
    </row>
    <row r="65" spans="1:25" x14ac:dyDescent="0.25">
      <c r="A65" t="s">
        <v>0</v>
      </c>
      <c r="B65" t="s">
        <v>1</v>
      </c>
      <c r="C65" t="s">
        <v>2</v>
      </c>
      <c r="D65" t="s">
        <v>168</v>
      </c>
      <c r="E65" t="s">
        <v>4</v>
      </c>
      <c r="F65" t="s">
        <v>5</v>
      </c>
      <c r="G65" t="s">
        <v>6</v>
      </c>
      <c r="H65" t="s">
        <v>7</v>
      </c>
      <c r="I65" t="s">
        <v>7</v>
      </c>
      <c r="J65" t="s">
        <v>8</v>
      </c>
      <c r="K65" t="s">
        <v>169</v>
      </c>
      <c r="L65" t="s">
        <v>170</v>
      </c>
      <c r="M65" t="s">
        <v>58</v>
      </c>
      <c r="N65" t="s">
        <v>11</v>
      </c>
      <c r="O65" s="2">
        <v>-1</v>
      </c>
      <c r="P65" t="s">
        <v>171</v>
      </c>
      <c r="Q65" t="s">
        <v>13</v>
      </c>
      <c r="R65" t="s">
        <v>14</v>
      </c>
      <c r="S65" t="s">
        <v>15</v>
      </c>
      <c r="T65" s="3">
        <v>45602</v>
      </c>
      <c r="U65" s="3">
        <v>45602</v>
      </c>
      <c r="V65" s="3">
        <v>45602</v>
      </c>
      <c r="W65" s="2">
        <v>-1</v>
      </c>
      <c r="X65" s="4">
        <v>-1122.1600000000001</v>
      </c>
      <c r="Y65" s="11">
        <f t="shared" si="0"/>
        <v>1122.1600000000001</v>
      </c>
    </row>
    <row r="66" spans="1:25" x14ac:dyDescent="0.25">
      <c r="A66" t="s">
        <v>0</v>
      </c>
      <c r="B66" t="s">
        <v>1</v>
      </c>
      <c r="C66" t="s">
        <v>2</v>
      </c>
      <c r="D66" t="s">
        <v>172</v>
      </c>
      <c r="E66" t="s">
        <v>4</v>
      </c>
      <c r="F66" t="s">
        <v>5</v>
      </c>
      <c r="G66" t="s">
        <v>6</v>
      </c>
      <c r="H66" t="s">
        <v>7</v>
      </c>
      <c r="I66" t="s">
        <v>7</v>
      </c>
      <c r="J66" t="s">
        <v>8</v>
      </c>
      <c r="K66" t="s">
        <v>173</v>
      </c>
      <c r="L66" t="s">
        <v>174</v>
      </c>
      <c r="M66" t="s">
        <v>58</v>
      </c>
      <c r="N66" t="s">
        <v>11</v>
      </c>
      <c r="O66" s="2">
        <v>-1</v>
      </c>
      <c r="P66" t="s">
        <v>171</v>
      </c>
      <c r="Q66" t="s">
        <v>13</v>
      </c>
      <c r="R66" t="s">
        <v>14</v>
      </c>
      <c r="S66" t="s">
        <v>15</v>
      </c>
      <c r="T66" s="3">
        <v>45603</v>
      </c>
      <c r="U66" s="3">
        <v>45603</v>
      </c>
      <c r="V66" s="3">
        <v>45603</v>
      </c>
      <c r="W66" s="2">
        <v>-1</v>
      </c>
      <c r="X66" s="4">
        <v>-1122.1099999999999</v>
      </c>
      <c r="Y66" s="11">
        <f t="shared" si="0"/>
        <v>1122.1099999999999</v>
      </c>
    </row>
    <row r="67" spans="1:25" x14ac:dyDescent="0.25">
      <c r="A67" t="s">
        <v>0</v>
      </c>
      <c r="B67" t="s">
        <v>1</v>
      </c>
      <c r="C67" t="s">
        <v>2</v>
      </c>
      <c r="D67" t="s">
        <v>175</v>
      </c>
      <c r="E67" t="s">
        <v>4</v>
      </c>
      <c r="F67" t="s">
        <v>5</v>
      </c>
      <c r="G67" t="s">
        <v>6</v>
      </c>
      <c r="H67" t="s">
        <v>7</v>
      </c>
      <c r="I67" t="s">
        <v>7</v>
      </c>
      <c r="J67" t="s">
        <v>8</v>
      </c>
      <c r="K67" t="s">
        <v>26</v>
      </c>
      <c r="L67" t="s">
        <v>176</v>
      </c>
      <c r="M67" t="s">
        <v>58</v>
      </c>
      <c r="N67" t="s">
        <v>11</v>
      </c>
      <c r="O67" s="2">
        <v>-1</v>
      </c>
      <c r="P67" t="s">
        <v>12</v>
      </c>
      <c r="Q67" t="s">
        <v>13</v>
      </c>
      <c r="R67" t="s">
        <v>14</v>
      </c>
      <c r="S67" t="s">
        <v>15</v>
      </c>
      <c r="T67" s="3">
        <v>45607</v>
      </c>
      <c r="U67" s="3">
        <v>45607</v>
      </c>
      <c r="V67" s="3">
        <v>45607</v>
      </c>
      <c r="W67" s="2">
        <v>-1</v>
      </c>
      <c r="X67" s="4">
        <v>-1122.0899999999999</v>
      </c>
      <c r="Y67" s="11">
        <f t="shared" ref="Y67:Y71" si="1">X67/W67</f>
        <v>1122.0899999999999</v>
      </c>
    </row>
    <row r="68" spans="1:25" x14ac:dyDescent="0.25">
      <c r="A68" t="s">
        <v>0</v>
      </c>
      <c r="B68" t="s">
        <v>1</v>
      </c>
      <c r="C68" t="s">
        <v>2</v>
      </c>
      <c r="D68" t="s">
        <v>177</v>
      </c>
      <c r="E68" t="s">
        <v>4</v>
      </c>
      <c r="F68" t="s">
        <v>5</v>
      </c>
      <c r="G68" t="s">
        <v>6</v>
      </c>
      <c r="H68" t="s">
        <v>7</v>
      </c>
      <c r="I68" t="s">
        <v>7</v>
      </c>
      <c r="J68" t="s">
        <v>8</v>
      </c>
      <c r="K68" t="s">
        <v>17</v>
      </c>
      <c r="L68" t="s">
        <v>178</v>
      </c>
      <c r="M68" t="s">
        <v>58</v>
      </c>
      <c r="N68" t="s">
        <v>11</v>
      </c>
      <c r="O68" s="2">
        <v>-1</v>
      </c>
      <c r="P68" t="s">
        <v>59</v>
      </c>
      <c r="Q68" t="s">
        <v>13</v>
      </c>
      <c r="R68" t="s">
        <v>14</v>
      </c>
      <c r="S68" t="s">
        <v>15</v>
      </c>
      <c r="T68" s="3">
        <v>45608</v>
      </c>
      <c r="U68" s="3">
        <v>45608</v>
      </c>
      <c r="V68" s="3">
        <v>45608</v>
      </c>
      <c r="W68" s="2">
        <v>-1</v>
      </c>
      <c r="X68" s="4">
        <v>-1122.0899999999999</v>
      </c>
      <c r="Y68" s="11">
        <f t="shared" si="1"/>
        <v>1122.0899999999999</v>
      </c>
    </row>
    <row r="69" spans="1:25" x14ac:dyDescent="0.25">
      <c r="A69" t="s">
        <v>0</v>
      </c>
      <c r="B69" t="s">
        <v>1</v>
      </c>
      <c r="C69" t="s">
        <v>2</v>
      </c>
      <c r="D69" t="s">
        <v>179</v>
      </c>
      <c r="E69" t="s">
        <v>4</v>
      </c>
      <c r="F69" t="s">
        <v>5</v>
      </c>
      <c r="G69" t="s">
        <v>6</v>
      </c>
      <c r="H69" t="s">
        <v>7</v>
      </c>
      <c r="I69" t="s">
        <v>7</v>
      </c>
      <c r="J69" t="s">
        <v>8</v>
      </c>
      <c r="K69" t="s">
        <v>75</v>
      </c>
      <c r="L69" t="s">
        <v>180</v>
      </c>
      <c r="M69" t="s">
        <v>58</v>
      </c>
      <c r="N69" t="s">
        <v>11</v>
      </c>
      <c r="O69" s="2">
        <v>-1</v>
      </c>
      <c r="P69" t="s">
        <v>12</v>
      </c>
      <c r="Q69" t="s">
        <v>13</v>
      </c>
      <c r="R69" t="s">
        <v>14</v>
      </c>
      <c r="S69" t="s">
        <v>15</v>
      </c>
      <c r="T69" s="3">
        <v>45609</v>
      </c>
      <c r="U69" s="3">
        <v>45609</v>
      </c>
      <c r="V69" s="3">
        <v>45609</v>
      </c>
      <c r="W69" s="2">
        <v>-1</v>
      </c>
      <c r="X69" s="4">
        <v>-1122.0899999999999</v>
      </c>
      <c r="Y69" s="11">
        <f t="shared" si="1"/>
        <v>1122.0899999999999</v>
      </c>
    </row>
    <row r="70" spans="1:25" x14ac:dyDescent="0.25">
      <c r="A70" t="s">
        <v>0</v>
      </c>
      <c r="B70" t="s">
        <v>1</v>
      </c>
      <c r="C70" t="s">
        <v>2</v>
      </c>
      <c r="D70" t="s">
        <v>181</v>
      </c>
      <c r="E70" t="s">
        <v>4</v>
      </c>
      <c r="F70" t="s">
        <v>5</v>
      </c>
      <c r="G70" t="s">
        <v>182</v>
      </c>
      <c r="H70" t="s">
        <v>7</v>
      </c>
      <c r="I70" t="s">
        <v>7</v>
      </c>
      <c r="J70" t="s">
        <v>8</v>
      </c>
      <c r="K70" t="s">
        <v>7</v>
      </c>
      <c r="L70" t="s">
        <v>183</v>
      </c>
      <c r="M70" t="s">
        <v>184</v>
      </c>
      <c r="N70" t="s">
        <v>7</v>
      </c>
      <c r="O70" s="2">
        <v>-1</v>
      </c>
      <c r="P70" t="s">
        <v>185</v>
      </c>
      <c r="Q70" t="s">
        <v>186</v>
      </c>
      <c r="R70" t="s">
        <v>14</v>
      </c>
      <c r="S70" t="s">
        <v>15</v>
      </c>
      <c r="T70" s="3">
        <v>45625</v>
      </c>
      <c r="U70" s="3">
        <v>45625</v>
      </c>
      <c r="V70" s="3">
        <v>45625</v>
      </c>
      <c r="W70" s="2">
        <v>-1</v>
      </c>
      <c r="X70" s="4">
        <v>-1048.31</v>
      </c>
      <c r="Y70" s="11">
        <f t="shared" si="1"/>
        <v>1048.31</v>
      </c>
    </row>
    <row r="71" spans="1:25" x14ac:dyDescent="0.25">
      <c r="A71" t="s">
        <v>0</v>
      </c>
      <c r="B71" t="s">
        <v>1</v>
      </c>
      <c r="C71" t="s">
        <v>2</v>
      </c>
      <c r="D71" t="s">
        <v>187</v>
      </c>
      <c r="E71" t="s">
        <v>4</v>
      </c>
      <c r="F71" t="s">
        <v>5</v>
      </c>
      <c r="G71" t="s">
        <v>182</v>
      </c>
      <c r="H71" t="s">
        <v>7</v>
      </c>
      <c r="I71" t="s">
        <v>7</v>
      </c>
      <c r="J71" t="s">
        <v>8</v>
      </c>
      <c r="K71" t="s">
        <v>7</v>
      </c>
      <c r="L71" t="s">
        <v>183</v>
      </c>
      <c r="M71" t="s">
        <v>184</v>
      </c>
      <c r="N71" t="s">
        <v>7</v>
      </c>
      <c r="O71" s="2">
        <v>-1</v>
      </c>
      <c r="P71" t="s">
        <v>185</v>
      </c>
      <c r="Q71" t="s">
        <v>186</v>
      </c>
      <c r="R71" t="s">
        <v>14</v>
      </c>
      <c r="S71" t="s">
        <v>15</v>
      </c>
      <c r="T71" s="3">
        <v>45625</v>
      </c>
      <c r="U71" s="3">
        <v>45625</v>
      </c>
      <c r="V71" s="3">
        <v>45625</v>
      </c>
      <c r="W71" s="2">
        <v>-1</v>
      </c>
      <c r="X71" s="4">
        <v>-1048.31</v>
      </c>
      <c r="Y71" s="11">
        <f t="shared" si="1"/>
        <v>1048.31</v>
      </c>
    </row>
    <row r="72" spans="1:25" x14ac:dyDescent="0.25">
      <c r="A72" s="5" t="s">
        <v>7</v>
      </c>
      <c r="B72" s="5" t="s">
        <v>7</v>
      </c>
      <c r="C72" s="5" t="s">
        <v>7</v>
      </c>
      <c r="D72" s="5" t="s">
        <v>7</v>
      </c>
      <c r="E72" s="5" t="s">
        <v>7</v>
      </c>
      <c r="F72" s="5" t="s">
        <v>7</v>
      </c>
      <c r="G72" s="5" t="s">
        <v>7</v>
      </c>
      <c r="H72" s="5" t="s">
        <v>7</v>
      </c>
      <c r="I72" s="5" t="s">
        <v>7</v>
      </c>
      <c r="J72" s="5" t="s">
        <v>7</v>
      </c>
      <c r="K72" s="5" t="s">
        <v>7</v>
      </c>
      <c r="L72" s="5" t="s">
        <v>7</v>
      </c>
      <c r="M72" s="5" t="s">
        <v>7</v>
      </c>
      <c r="N72" s="5" t="s">
        <v>7</v>
      </c>
      <c r="O72" s="6"/>
      <c r="P72" s="5" t="s">
        <v>7</v>
      </c>
      <c r="Q72" s="5" t="s">
        <v>7</v>
      </c>
      <c r="R72" s="5" t="s">
        <v>7</v>
      </c>
      <c r="S72" s="5" t="s">
        <v>7</v>
      </c>
      <c r="T72" s="7"/>
      <c r="U72" s="7"/>
      <c r="V72" s="7"/>
      <c r="W72" s="6"/>
      <c r="X72" s="8">
        <v>-100365.8</v>
      </c>
      <c r="Y72" s="12">
        <f>SUM(Y2:Y71)</f>
        <v>88310.515555555568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 Zahidul</cp:lastModifiedBy>
  <cp:revision>1</cp:revision>
  <dcterms:modified xsi:type="dcterms:W3CDTF">2026-01-21T16:46:11Z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6e7d7-c3f0-41d9-b8d6-e23d3245f674_Enabled">
    <vt:lpwstr>true</vt:lpwstr>
  </property>
  <property fmtid="{D5CDD505-2E9C-101B-9397-08002B2CF9AE}" pid="3" name="MSIP_Label_9fc6e7d7-c3f0-41d9-b8d6-e23d3245f674_SetDate">
    <vt:lpwstr>2026-01-21T16:36:30Z</vt:lpwstr>
  </property>
  <property fmtid="{D5CDD505-2E9C-101B-9397-08002B2CF9AE}" pid="4" name="MSIP_Label_9fc6e7d7-c3f0-41d9-b8d6-e23d3245f674_Method">
    <vt:lpwstr>Standard</vt:lpwstr>
  </property>
  <property fmtid="{D5CDD505-2E9C-101B-9397-08002B2CF9AE}" pid="5" name="MSIP_Label_9fc6e7d7-c3f0-41d9-b8d6-e23d3245f674_Name">
    <vt:lpwstr>Internal</vt:lpwstr>
  </property>
  <property fmtid="{D5CDD505-2E9C-101B-9397-08002B2CF9AE}" pid="6" name="MSIP_Label_9fc6e7d7-c3f0-41d9-b8d6-e23d3245f674_SiteId">
    <vt:lpwstr>4b19ee34-32b7-458e-b987-a34fb6431fc5</vt:lpwstr>
  </property>
  <property fmtid="{D5CDD505-2E9C-101B-9397-08002B2CF9AE}" pid="7" name="MSIP_Label_9fc6e7d7-c3f0-41d9-b8d6-e23d3245f674_ActionId">
    <vt:lpwstr>a4f6dd02-c5f9-46f5-9e34-f7f245d2d3c6</vt:lpwstr>
  </property>
  <property fmtid="{D5CDD505-2E9C-101B-9397-08002B2CF9AE}" pid="8" name="MSIP_Label_9fc6e7d7-c3f0-41d9-b8d6-e23d3245f674_ContentBits">
    <vt:lpwstr>0</vt:lpwstr>
  </property>
  <property fmtid="{D5CDD505-2E9C-101B-9397-08002B2CF9AE}" pid="9" name="MSIP_Label_9fc6e7d7-c3f0-41d9-b8d6-e23d3245f674_Tag">
    <vt:lpwstr>10, 3, 0, 1</vt:lpwstr>
  </property>
</Properties>
</file>